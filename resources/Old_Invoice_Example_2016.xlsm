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macrosheets/intlsheet1.xml" ContentType="application/vnd.ms-excel.intlmacro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ialogsheets/sheet1.xml" ContentType="application/vnd.openxmlformats-officedocument.spreadsheetml.dialogsheet+xml"/>
  <Override PartName="/xl/dialogsheets/sheet2.xml" ContentType="application/vnd.openxmlformats-officedocument.spreadsheetml.dialog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Admin\Documents\squash\abb fakt 160101-0630\"/>
    </mc:Choice>
  </mc:AlternateContent>
  <bookViews>
    <workbookView xWindow="0" yWindow="-15" windowWidth="6000" windowHeight="7320" tabRatio="599" firstSheet="2" activeTab="3"/>
  </bookViews>
  <sheets>
    <sheet name="AutoOpen Stub Data" sheetId="1" state="veryHidden" r:id="rId1"/>
    <sheet name="Anpassa faktura" sheetId="2" state="hidden" r:id="rId2"/>
    <sheet name="Blad1" sheetId="3" r:id="rId3"/>
    <sheet name="Faktura" sheetId="4" r:id="rId4"/>
    <sheet name="ATW" sheetId="5" state="veryHidden" r:id="rId5"/>
    <sheet name="Macros" sheetId="6" state="veryHidden" r:id=""/>
    <sheet name="Lock" sheetId="7" state="veryHidden" r:id="rId6"/>
    <sheet name="Int. Data Table" sheetId="8" state="veryHidden" r:id="rId7"/>
    <sheet name="TemplateInformation" sheetId="9" state="veryHidden" r:id="rId8"/>
  </sheets>
  <functionGroups builtInGroupCount="18"/>
  <definedNames>
    <definedName name="__IntlFixup" hidden="1">TRUE</definedName>
    <definedName name="__IntlFixupTable" hidden="1">'Int. Data Table'!$A$3:$G$16</definedName>
    <definedName name="_SHR1">'Anpassa faktura'!$D$30</definedName>
    <definedName name="_SHR2">'Anpassa faktura'!$G$30</definedName>
    <definedName name="_tax1">Faktura!#REF!</definedName>
    <definedName name="_tax2">Faktura!#REF!</definedName>
    <definedName name="_tax3">Faktura!$M$40</definedName>
    <definedName name="_tax4">Faktura!$P$40</definedName>
    <definedName name="_xlnm.Auto_Open21">'AutoOpen Stub Data'!$A$1</definedName>
    <definedName name="boxes">Faktura!$H$39:$H$40</definedName>
    <definedName name="button_area_1">#REF!</definedName>
    <definedName name="CC">'Anpassa faktura'!$G$22:$G$25</definedName>
    <definedName name="CCT">Faktura!$J$41</definedName>
    <definedName name="CDB">'Anpassa faktura'!$E$50</definedName>
    <definedName name="celltips_area">#REF!</definedName>
    <definedName name="CS">'Anpassa faktura'!$E$51</definedName>
    <definedName name="data1">Faktura!$Q$12</definedName>
    <definedName name="data10">Faktura!$I$16</definedName>
    <definedName name="data11">Faktura!$H$20</definedName>
    <definedName name="data12">Faktura!$I$20</definedName>
    <definedName name="data13">Faktura!$P$20</definedName>
    <definedName name="data14">Faktura!$H$21</definedName>
    <definedName name="data15">Faktura!$I$21</definedName>
    <definedName name="data16">Faktura!$P$21</definedName>
    <definedName name="data17">Faktura!$H$22</definedName>
    <definedName name="data18">Faktura!$I$25</definedName>
    <definedName name="data19">Faktura!$P$22</definedName>
    <definedName name="data2">Faktura!$Q$13</definedName>
    <definedName name="data20">Faktura!$H$23</definedName>
    <definedName name="data21">Faktura!$I$26</definedName>
    <definedName name="data22">Faktura!$P$23</definedName>
    <definedName name="data23">Faktura!$H$24</definedName>
    <definedName name="data24">Faktura!#REF!</definedName>
    <definedName name="data25">Faktura!$P$24</definedName>
    <definedName name="data26">Faktura!$H$25</definedName>
    <definedName name="data27">Faktura!#REF!</definedName>
    <definedName name="data28">Faktura!$P$25</definedName>
    <definedName name="data29">Faktura!$H$26</definedName>
    <definedName name="data3">Faktura!$Q$14</definedName>
    <definedName name="data30">Faktura!#REF!</definedName>
    <definedName name="data31">Faktura!$P$26</definedName>
    <definedName name="data32">Faktura!$H$27</definedName>
    <definedName name="data33">Faktura!$I$27</definedName>
    <definedName name="data34">Faktura!$P$27</definedName>
    <definedName name="data35">Faktura!$H$28</definedName>
    <definedName name="data36">Faktura!$I$28</definedName>
    <definedName name="data37">Faktura!$P$28</definedName>
    <definedName name="data38">Faktura!$H$29</definedName>
    <definedName name="data39">Faktura!$I$29</definedName>
    <definedName name="data4">Faktura!$Q$16</definedName>
    <definedName name="data40">Faktura!$P$29</definedName>
    <definedName name="data41">Faktura!$H$30</definedName>
    <definedName name="data42">Faktura!$I$30</definedName>
    <definedName name="data43">Faktura!$P$30</definedName>
    <definedName name="data44">Faktura!$H$31</definedName>
    <definedName name="data45">Faktura!$I$31</definedName>
    <definedName name="data46">Faktura!$P$31</definedName>
    <definedName name="data47">Faktura!$H$32</definedName>
    <definedName name="data48">Faktura!$I$32</definedName>
    <definedName name="data49">Faktura!$P$32</definedName>
    <definedName name="data5">Faktura!$H$12</definedName>
    <definedName name="data50">Faktura!$H$33</definedName>
    <definedName name="data51">Faktura!$I$33</definedName>
    <definedName name="data52">Faktura!$P$33</definedName>
    <definedName name="data53">Faktura!$H$34</definedName>
    <definedName name="data54">Faktura!$I$34</definedName>
    <definedName name="data55">Faktura!$P$34</definedName>
    <definedName name="data56">Faktura!$H$35</definedName>
    <definedName name="data57">Faktura!$I$35</definedName>
    <definedName name="data58">Faktura!$P$35</definedName>
    <definedName name="data59">Faktura!$H$36</definedName>
    <definedName name="data6">Faktura!$I$13</definedName>
    <definedName name="data60">Faktura!$I$36</definedName>
    <definedName name="data61">Faktura!$P$36</definedName>
    <definedName name="data62">Faktura!#REF!</definedName>
    <definedName name="data63">Faktura!$H$40</definedName>
    <definedName name="data64">Faktura!$H$41</definedName>
    <definedName name="data65">Faktura!$J$40</definedName>
    <definedName name="data66">Faktura!#REF!</definedName>
    <definedName name="data67">Faktura!#REF!</definedName>
    <definedName name="data68">Faktura!#REF!</definedName>
    <definedName name="data69">Faktura!#REF!</definedName>
    <definedName name="data7">Faktura!$I$14</definedName>
    <definedName name="data70">Faktura!#REF!</definedName>
    <definedName name="data8">Faktura!$K$14</definedName>
    <definedName name="data9">Faktura!$M$14</definedName>
    <definedName name="dflt1">'Anpassa faktura'!$E$22</definedName>
    <definedName name="dflt2">'Anpassa faktura'!$E$23</definedName>
    <definedName name="dflt3">'Anpassa faktura'!$D$24</definedName>
    <definedName name="dflt4">'Anpassa faktura'!$E$26</definedName>
    <definedName name="dflt5">'Anpassa faktura'!$E$27</definedName>
    <definedName name="dflt6">'Anpassa faktura'!$D$28</definedName>
    <definedName name="dflt7">'Anpassa faktura'!$G$27</definedName>
    <definedName name="display_area_1">'Anpassa faktura'!$C$3:$I$44</definedName>
    <definedName name="display_area_2">Faktura!$D$3:$R$54</definedName>
    <definedName name="GoAssetChart">[0]!GoAssetChart</definedName>
    <definedName name="GoBack">[0]!GoBack</definedName>
    <definedName name="GoBalanceSheet">[0]!GoBalanceSheet</definedName>
    <definedName name="GoCashFlow">[0]!GoCashFlow</definedName>
    <definedName name="GoData">[0]!GoData</definedName>
    <definedName name="GoIncomeChart">[0]!GoIncomeChart</definedName>
    <definedName name="LOC">'Anpassa faktura'!$E$47</definedName>
    <definedName name="LTR">'Anpassa faktura'!$F$38</definedName>
    <definedName name="NO">Faktura!$Q$4</definedName>
    <definedName name="NS">'Anpassa faktura'!$E$49</definedName>
    <definedName name="_xlnm.Print_Area" localSheetId="1">'Anpassa faktura'!$C$3:$I$44</definedName>
    <definedName name="_xlnm.Print_Area" localSheetId="3">Faktura!$D$3:$R$54</definedName>
    <definedName name="SS">'Anpassa faktura'!$E$48</definedName>
    <definedName name="TOT">Faktura!$Q$41</definedName>
    <definedName name="vital1">'Anpassa faktura'!$E$12</definedName>
    <definedName name="vital2">'Anpassa faktura'!$E$13</definedName>
    <definedName name="vital4">'Anpassa faktura'!$E$14</definedName>
    <definedName name="vital5">'Anpassa faktura'!$E$15</definedName>
    <definedName name="vital6">'Anpassa faktura'!$E$16</definedName>
    <definedName name="vital8">'Anpassa faktura'!$G$12</definedName>
    <definedName name="vital9">'Anpassa faktura'!$G$13</definedName>
    <definedName name="Z_58F2F22E_C36E_4B61_A2F0_87B8DAF04981_.wvu.Cols" localSheetId="8" hidden="1">TemplateInformation!$1:$1048576</definedName>
    <definedName name="Z_58F2F22E_C36E_4B61_A2F0_87B8DAF04981_.wvu.PrintArea" localSheetId="1" hidden="1">'Anpassa faktura'!$C$3:$I$44</definedName>
    <definedName name="Z_58F2F22E_C36E_4B61_A2F0_87B8DAF04981_.wvu.PrintArea" localSheetId="3" hidden="1">Faktura!$D$3:$R$54</definedName>
    <definedName name="Z_58F2F22E_C36E_4B61_A2F0_87B8DAF04981_.wvu.Rows" localSheetId="8" hidden="1">TemplateInformation!$10:$65536,TemplateInformation!$1:$9</definedName>
  </definedNames>
  <calcPr calcId="152511"/>
  <customWorkbookViews>
    <customWorkbookView name="Frid - Personlig vy" guid="{58F2F22E-C36E-4B61-A2F0-87B8DAF04981}" mergeInterval="0" personalView="1" maximized="1" windowWidth="1020" windowHeight="593" tabRatio="599" activeSheetId="4"/>
  </customWorkbookViews>
</workbook>
</file>

<file path=xl/calcChain.xml><?xml version="1.0" encoding="utf-8"?>
<calcChain xmlns="http://schemas.openxmlformats.org/spreadsheetml/2006/main">
  <c r="F32" i="2" l="1"/>
  <c r="Q25" i="4"/>
  <c r="Q26" i="4"/>
  <c r="Q27" i="4"/>
  <c r="Q28" i="4"/>
  <c r="Q29" i="4"/>
  <c r="Q30" i="4"/>
  <c r="Q31" i="4"/>
  <c r="Q32" i="4"/>
  <c r="Q33" i="4"/>
  <c r="Q34" i="4"/>
  <c r="Q35" i="4"/>
  <c r="P40" i="4"/>
  <c r="K8" i="9"/>
  <c r="I8" i="9"/>
  <c r="H8" i="9"/>
  <c r="G8" i="9"/>
  <c r="F8" i="9"/>
  <c r="E8" i="9"/>
  <c r="D8" i="9"/>
  <c r="C8" i="9"/>
  <c r="B8" i="9"/>
  <c r="Q37" i="4" l="1"/>
  <c r="Q41" i="4" s="1"/>
  <c r="J8" i="9" s="1"/>
</calcChain>
</file>

<file path=xl/comments1.xml><?xml version="1.0" encoding="utf-8"?>
<comments xmlns="http://schemas.openxmlformats.org/spreadsheetml/2006/main">
  <authors>
    <author>En nöjd Microsoft Office-användare</author>
  </authors>
  <commentList>
    <comment ref="E3" authorId="0" shapeId="0">
      <text>
        <r>
          <rPr>
            <sz val="10"/>
            <color indexed="81"/>
            <rFont val="Tahoma"/>
            <family val="2"/>
          </rPr>
          <t>ANPASSA FAKTURA
På detta blad anger du information som ska användas på bladet som skapas med mallen. Informationen formateras och placeras på fakturan. Du kan låsa bladet och spara mallen när du är klar.</t>
        </r>
      </text>
    </comment>
    <comment ref="E7" authorId="0" shapeId="0">
      <text>
        <r>
          <rPr>
            <sz val="10"/>
            <color indexed="81"/>
            <rFont val="Tahoma"/>
            <family val="2"/>
          </rPr>
          <t>LÅS/LÅS UPP BLADET
Klicka på denna knapp om du inte vill att ändringar ska göras i den anpassade informationen. Knappen ändras till Lås upp bladet, som du klickar på om du vill ändra informationen. När du låser bladet kan du antingen bara låsa det, eller också låsa det och spara versionen av denna mall med den anpassade informationen.</t>
        </r>
      </text>
    </comment>
    <comment ref="G8" authorId="0" shapeId="0">
      <text>
        <r>
          <rPr>
            <sz val="10"/>
            <color indexed="81"/>
            <rFont val="Tahoma"/>
            <family val="2"/>
          </rPr>
          <t>BESKRIVNINGAR
Beskrivningar är en användbar funktion i Microsoft Excel. Knappbeskrivningar visar information om verktygsfält. Cellbeskrivningar, en ny funktion, visar information om cellerna på bladet. Du kan skapa cellbeskrivningar med knappen Lägg till cellbeskrivning i verktygsfältet.</t>
        </r>
      </text>
    </comment>
    <comment ref="D10" authorId="0" shapeId="0">
      <text>
        <r>
          <rPr>
            <sz val="10"/>
            <color indexed="81"/>
            <rFont val="Tahoma"/>
            <family val="2"/>
          </rPr>
          <t>ANGE FÖRETAGSINFORMATION
Om du skriver information i de här cellerna kommer fakturarapportens sidhuvud automatiskt att uppdateras. Du behöver inte fylla i alla celler. Tomma celler visas inte i sidhuvudet.</t>
        </r>
      </text>
    </comment>
    <comment ref="D19" authorId="0" shapeId="0">
      <text>
        <r>
          <rPr>
            <sz val="10"/>
            <color indexed="81"/>
            <rFont val="Tahoma"/>
            <family val="2"/>
          </rPr>
          <t xml:space="preserve">ANGE STANDARDINFORMATION FÖR FAKTURAN
Om du skriver information i de här cellerna kommer formuläret för fakturan automatiskt uppdateras. Du ändrar informationen i de här cellerna genom att ta bort informationen och skriva ny. </t>
        </r>
      </text>
    </comment>
    <comment ref="G21" authorId="0" shapeId="0">
      <text>
        <r>
          <rPr>
            <sz val="10"/>
            <color indexed="81"/>
            <rFont val="Tahoma"/>
            <family val="2"/>
          </rPr>
          <t xml:space="preserve">Skriv in de kreditkort som företaget accepterar. OBS! Begränsa längden på kortnamnet till 16 tecken. Längre namn bör förkortas. </t>
        </r>
      </text>
    </comment>
    <comment ref="D23" authorId="0" shapeId="0">
      <text>
        <r>
          <rPr>
            <sz val="10"/>
            <color indexed="81"/>
            <rFont val="Tahoma"/>
            <family val="2"/>
          </rPr>
          <t xml:space="preserve">Skriv in gällande skatte- eller momssats. </t>
        </r>
      </text>
    </comment>
    <comment ref="E24" authorId="0" shapeId="0">
      <text>
        <r>
          <rPr>
            <sz val="10"/>
            <color indexed="81"/>
            <rFont val="Tahoma"/>
            <family val="2"/>
          </rPr>
          <t xml:space="preserve">Markera detta alternativ om moms ska läggas till. </t>
        </r>
      </text>
    </comment>
    <comment ref="D27" authorId="0" shapeId="0">
      <text>
        <r>
          <rPr>
            <sz val="10"/>
            <color indexed="81"/>
            <rFont val="Tahoma"/>
            <family val="2"/>
          </rPr>
          <t xml:space="preserve">Skriv in gällande skatte- eller momssats </t>
        </r>
      </text>
    </comment>
    <comment ref="F27" authorId="0" shapeId="0">
      <text>
        <r>
          <rPr>
            <sz val="10"/>
            <color indexed="81"/>
            <rFont val="Tahoma"/>
            <family val="2"/>
          </rPr>
          <t xml:space="preserve">Skriv in det belopp som normalt tas ut för frakt. </t>
        </r>
      </text>
    </comment>
    <comment ref="E28" authorId="0" shapeId="0">
      <text>
        <r>
          <rPr>
            <sz val="10"/>
            <color indexed="81"/>
            <rFont val="Tahoma"/>
            <family val="2"/>
          </rPr>
          <t>Markera detta alternativ om avgiften ska läggas till.</t>
        </r>
      </text>
    </comment>
    <comment ref="E30" authorId="0" shapeId="0">
      <text>
        <r>
          <rPr>
            <sz val="10"/>
            <color indexed="81"/>
            <rFont val="Tahoma"/>
            <family val="2"/>
          </rPr>
          <t>Fakturanumrering sköts normalt automatiskt. Om du vill skriva ut flera fakturor från mer än en skrivare i nätverket, markerar du den här rutan och anger en nätverksserver i rutan Numreringsfil. Om du vill ha mer  information om automatisk numrering, klickar du på Hjälp i verktygsfältet Faktura.</t>
        </r>
      </text>
    </comment>
    <comment ref="F30" authorId="0" shapeId="0">
      <text>
        <r>
          <rPr>
            <sz val="10"/>
            <color indexed="81"/>
            <rFont val="Tahoma"/>
            <family val="2"/>
          </rPr>
          <t xml:space="preserve">Fakturans numreringsfil måste finnas på en allmänt tillgänglig plats på servern. OBS!  Ange endast sökvägen. </t>
        </r>
      </text>
    </comment>
    <comment ref="E32" authorId="0" shapeId="0">
      <text>
        <r>
          <rPr>
            <sz val="10"/>
            <color indexed="81"/>
            <rFont val="Tahoma"/>
            <family val="2"/>
          </rPr>
          <t>Varje faktura som skapas med denna mall kan automatiskt läggas till i en särskild databas. Databasen skapas med Mallguiden i Microsoft Excel. DU KAN INTE ÄNDRA PLACERINGEN AV DATABASEN I DEN HÄR CELLEN. Om du vill använda en annan databas skapar du den med Mallguiden. Mer information om hur du använder Mallguiden och databasen får du om du klickar på knappen Hjälp i verktygsfältet Faktura.</t>
        </r>
      </text>
    </comment>
    <comment ref="D35" authorId="0" shapeId="0">
      <text>
        <r>
          <rPr>
            <sz val="10"/>
            <color indexed="81"/>
            <rFont val="Tahoma"/>
            <family val="2"/>
          </rPr>
          <t>ANGE FORMATERAD INFORMATION
I det här området anpassar du fakturans utseende. Klicka på Välj logotyp om du vill välja en företagslogotyp. Klicka på Ändra teckensnitt om du vill ändra teckensnittet i sidhuvudet. Sidhuvudet uppdateras automatiskt på alla tillämpliga blad. Exempel på logotyper finns i clipart-katalogen i Microsoft Office.</t>
        </r>
      </text>
    </comment>
  </commentList>
</comments>
</file>

<file path=xl/comments2.xml><?xml version="1.0" encoding="utf-8"?>
<comments xmlns="http://schemas.openxmlformats.org/spreadsheetml/2006/main">
  <authors>
    <author>En nöjd Microsoft Office-användare</author>
  </authors>
  <commentList>
    <comment ref="E1" authorId="0" shapeId="0">
      <text>
        <r>
          <rPr>
            <sz val="10"/>
            <color indexed="81"/>
            <rFont val="Tahoma"/>
            <family val="2"/>
          </rPr>
          <t xml:space="preserve">Om du inte har angivit en logo i anpassningsbladet visas inte den här rutan i fakturautskrifter. </t>
        </r>
      </text>
    </comment>
    <comment ref="P4" authorId="0" shapeId="0">
      <text>
        <r>
          <rPr>
            <sz val="10"/>
            <color indexed="81"/>
            <rFont val="Tahoma"/>
            <family val="2"/>
          </rPr>
          <t>Här visas det unika numret för varje faktura. Om du vill lägga till ett unikt nummer för den här fakturan klickar du på knappen Tilldela ett nummer i verktygsfältet Faktura. Om du vill skapa sekventiella fakturor på mer än en dator i ett nätverk väljer du det alternativet på anpassningsbladet.</t>
        </r>
      </text>
    </comment>
    <comment ref="P5" authorId="0" shapeId="0">
      <text>
        <r>
          <rPr>
            <sz val="10"/>
            <color indexed="81"/>
            <rFont val="Tahoma"/>
            <family val="2"/>
          </rPr>
          <t xml:space="preserve">Klicka på denna knapp om du vill ändra anpassad information på anpassningsbladet. </t>
        </r>
      </text>
    </comment>
    <comment ref="K8" authorId="0" shapeId="0">
      <text>
        <r>
          <rPr>
            <sz val="10"/>
            <color indexed="81"/>
            <rFont val="Tahoma"/>
            <family val="2"/>
          </rPr>
          <t xml:space="preserve">Skriv in kundinformation nedan. </t>
        </r>
      </text>
    </comment>
    <comment ref="P16" authorId="0" shapeId="0">
      <text>
        <r>
          <rPr>
            <sz val="10"/>
            <color indexed="81"/>
            <rFont val="Tahoma"/>
            <family val="2"/>
          </rPr>
          <t xml:space="preserve">Här skriver du in företagets respektive kundens kontaktperson. </t>
        </r>
      </text>
    </comment>
    <comment ref="Q20" authorId="0" shapeId="0">
      <text>
        <r>
          <rPr>
            <sz val="10"/>
            <color indexed="81"/>
            <rFont val="Tahoma"/>
            <family val="2"/>
          </rPr>
          <t xml:space="preserve">De skuggade cellerna innehåller formler och beräknas automatiskt. Skriv INTE i de här cellerna. </t>
        </r>
      </text>
    </comment>
    <comment ref="I37" authorId="0" shapeId="0">
      <text>
        <r>
          <rPr>
            <sz val="10"/>
            <color indexed="81"/>
            <rFont val="Tahoma"/>
            <family val="2"/>
          </rPr>
          <t xml:space="preserve">BETALNINGSSÄTT
Kryssa i ett betalningssätt. Om kunden betalar med kort, väljer du rätt typ och skriver in nödvändig information. </t>
        </r>
      </text>
    </comment>
    <comment ref="H46" authorId="0" shapeId="0">
      <text>
        <r>
          <rPr>
            <sz val="10"/>
            <color indexed="81"/>
            <rFont val="Tahoma"/>
            <family val="2"/>
          </rPr>
          <t xml:space="preserve">FINSTILT
Skriv eventuell finstilt information (friskrivningsklausul, ersättningspolicy osv) här. Om det inte ska finnas någon finstilt information i utskriven rapport klickar du i rutan och tar bort texten "Infoga finstilt här". </t>
        </r>
      </text>
    </comment>
    <comment ref="H53" authorId="0" shapeId="0">
      <text>
        <r>
          <rPr>
            <sz val="10"/>
            <color indexed="81"/>
            <rFont val="Tahoma"/>
            <family val="2"/>
          </rPr>
          <t>AVSKEDSHÄLSNING
Skriv in en avskedshälsning till dina kunder (företagslogotyp, tack för affären osv).  Om du inte vill ha med en avskedshälsning på utskrivna fakturor klickar du på rutan och tar bort texten "Avskedshälsning".</t>
        </r>
      </text>
    </comment>
  </commentList>
</comments>
</file>

<file path=xl/sharedStrings.xml><?xml version="1.0" encoding="utf-8"?>
<sst xmlns="http://schemas.openxmlformats.org/spreadsheetml/2006/main" count="105" uniqueCount="83">
  <si>
    <t>Placera pekaren</t>
  </si>
  <si>
    <t xml:space="preserve"> HÄR för att få ett tips!</t>
  </si>
  <si>
    <t>Ange företagsinformation här</t>
  </si>
  <si>
    <t xml:space="preserve">Företagsnamn </t>
  </si>
  <si>
    <t>Ingvar Svärd</t>
  </si>
  <si>
    <t xml:space="preserve">Telefonnummer </t>
  </si>
  <si>
    <t>063-432 46      070-550 94 48</t>
  </si>
  <si>
    <t xml:space="preserve">Adress </t>
  </si>
  <si>
    <t>Vagle 146</t>
  </si>
  <si>
    <t xml:space="preserve">Faxnummer </t>
  </si>
  <si>
    <t xml:space="preserve">Postnummer </t>
  </si>
  <si>
    <t>832 96</t>
  </si>
  <si>
    <t xml:space="preserve">Postort </t>
  </si>
  <si>
    <t>Frösön</t>
  </si>
  <si>
    <t xml:space="preserve">Land </t>
  </si>
  <si>
    <t>Ange standardinformation för fakturor här</t>
  </si>
  <si>
    <t>Postgiro/Bankgiro</t>
  </si>
  <si>
    <t xml:space="preserve">Försäljningsskatt  </t>
  </si>
  <si>
    <t>MOMS</t>
  </si>
  <si>
    <t>PG/ 1 77 53 - 5</t>
  </si>
  <si>
    <t xml:space="preserve">Procentsats </t>
  </si>
  <si>
    <t xml:space="preserve"> BG /  619 - 9517</t>
  </si>
  <si>
    <t>Använd försäljningsskatten</t>
  </si>
  <si>
    <t xml:space="preserve">Annan avgift  </t>
  </si>
  <si>
    <t xml:space="preserve">Fraktkostnader </t>
  </si>
  <si>
    <t>Använd den här avgiften</t>
  </si>
  <si>
    <t>Dela fakturanummer på nätverket</t>
  </si>
  <si>
    <t xml:space="preserve">Numreringsfil </t>
  </si>
  <si>
    <t>c:\mina dokument\räkning</t>
  </si>
  <si>
    <t xml:space="preserve">Databas för mallguiden  </t>
  </si>
  <si>
    <t>Formaterad information</t>
  </si>
  <si>
    <t>Faktura</t>
  </si>
  <si>
    <t>Fakturanr</t>
  </si>
  <si>
    <t>Adress</t>
  </si>
  <si>
    <t>Ordernr</t>
  </si>
  <si>
    <t>Land</t>
  </si>
  <si>
    <t>Vår ref</t>
  </si>
  <si>
    <t>Telefon</t>
  </si>
  <si>
    <t>Er ref</t>
  </si>
  <si>
    <t>Beskrivning</t>
  </si>
  <si>
    <t>à pris</t>
  </si>
  <si>
    <t>Belopp</t>
  </si>
  <si>
    <t xml:space="preserve">Summa </t>
  </si>
  <si>
    <t xml:space="preserve"> </t>
  </si>
  <si>
    <t>Att betala</t>
  </si>
  <si>
    <t>US</t>
  </si>
  <si>
    <t>British</t>
  </si>
  <si>
    <t>Canadian</t>
  </si>
  <si>
    <t>Austrailian</t>
  </si>
  <si>
    <t>New Zealand</t>
  </si>
  <si>
    <t>Ireland</t>
  </si>
  <si>
    <t>Sheet Name</t>
  </si>
  <si>
    <t>Cell Address</t>
  </si>
  <si>
    <t>Action Code</t>
  </si>
  <si>
    <t>AutoTemplateWizardDONTMESSWITHIT</t>
  </si>
  <si>
    <t>Databastyp:</t>
  </si>
  <si>
    <t>Excel 5.0</t>
  </si>
  <si>
    <t>Databasläge:</t>
  </si>
  <si>
    <t>C:\MSOFFICE\EXCEL\MAKROBIB\Fakturdb.xls</t>
  </si>
  <si>
    <t>Reserved</t>
  </si>
  <si>
    <t>Antal tabeller:</t>
  </si>
  <si>
    <t>Tabellnamn:</t>
  </si>
  <si>
    <t>Tabell1</t>
  </si>
  <si>
    <t>Antal fält:</t>
  </si>
  <si>
    <t>Fältnamn:</t>
  </si>
  <si>
    <t>Datum för faktura</t>
  </si>
  <si>
    <t>Kund</t>
  </si>
  <si>
    <t>Postnummer</t>
  </si>
  <si>
    <t>Postort</t>
  </si>
  <si>
    <t>Belopp, faktura</t>
  </si>
  <si>
    <t>Refererar till:</t>
  </si>
  <si>
    <t>Antal</t>
  </si>
  <si>
    <t>Faktura nr.</t>
  </si>
  <si>
    <t xml:space="preserve">  </t>
  </si>
  <si>
    <t>BG. 5121-6158</t>
  </si>
  <si>
    <t>Org.nr 802416-6251</t>
  </si>
  <si>
    <t>Abonnemang Bana 1 torsdagar kl 16:00</t>
  </si>
  <si>
    <t>Hans Ling</t>
  </si>
  <si>
    <t>Eva Edholm</t>
  </si>
  <si>
    <t>eva.edholm@ostersund.se</t>
  </si>
  <si>
    <t>16 43</t>
  </si>
  <si>
    <t>För tiden 2016-03-14 - 16-09-14</t>
  </si>
  <si>
    <t>Förfallodag 2016-03-30</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</si>
</sst>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
    <numFmt numFmtId="165" formatCode="_-* #,##0.00\ &quot;DM&quot;_-;\-* #,##0.00\ &quot;DM&quot;_-;_-* &quot;-&quot;??\ &quot;DM&quot;_-;_-@_-"/>
    <numFmt numFmtId="166" formatCode="_ &quot;CHF&quot;\ * #,##0.00_ ;_ &quot;CHF&quot;\ * \-#,##0.00_ ;_ &quot;CHF&quot;\ * &quot;-&quot;??_ ;_ @_ "/>
    <numFmt numFmtId="167" formatCode="_-&quot;£&quot;* #,##0_-;\-&quot;£&quot;* #,##0_-;_-&quot;£&quot;* &quot;-&quot;_-;_-@_-"/>
    <numFmt numFmtId="168" formatCode="_-&quot;£&quot;* #,##0.00_-;\-&quot;£&quot;* #,##0.00_-;_-&quot;£&quot;* &quot;-&quot;??_-;_-@_-"/>
    <numFmt numFmtId="169" formatCode="#,##0.00\ &quot;kr&quot;"/>
    <numFmt numFmtId="170" formatCode="000\ 00"/>
    <numFmt numFmtId="171" formatCode="d/m/yy"/>
  </numFmts>
  <fonts count="25" x14ac:knownFonts="1">
    <font>
      <sz val="10"/>
      <name val="Arial"/>
    </font>
    <font>
      <b/>
      <sz val="10"/>
      <name val="Arial"/>
      <family val="2"/>
    </font>
    <font>
      <sz val="10"/>
      <name val="Arial"/>
      <family val="2"/>
    </font>
    <font>
      <b/>
      <i/>
      <sz val="14"/>
      <name val="Arial"/>
      <family val="2"/>
    </font>
    <font>
      <sz val="10"/>
      <name val="Arial"/>
      <family val="2"/>
    </font>
    <font>
      <b/>
      <sz val="10"/>
      <color indexed="10"/>
      <name val="System"/>
      <family val="2"/>
    </font>
    <font>
      <b/>
      <sz val="10"/>
      <name val="Arial"/>
      <family val="2"/>
    </font>
    <font>
      <sz val="11"/>
      <name val="Arial"/>
      <family val="2"/>
    </font>
    <font>
      <sz val="11"/>
      <color indexed="12"/>
      <name val="Arial"/>
      <family val="2"/>
    </font>
    <font>
      <sz val="10"/>
      <color indexed="10"/>
      <name val="Arial"/>
      <family val="2"/>
    </font>
    <font>
      <sz val="8"/>
      <name val="Arial"/>
      <family val="2"/>
    </font>
    <font>
      <sz val="11"/>
      <color indexed="8"/>
      <name val="Arial"/>
      <family val="2"/>
    </font>
    <font>
      <sz val="8"/>
      <name val="Tahoma"/>
      <family val="2"/>
    </font>
    <font>
      <sz val="12"/>
      <name val="Arial"/>
      <family val="2"/>
    </font>
    <font>
      <sz val="12"/>
      <color indexed="8"/>
      <name val="Arial"/>
      <family val="2"/>
    </font>
    <font>
      <sz val="10"/>
      <color indexed="9"/>
      <name val="Arial"/>
      <family val="2"/>
    </font>
    <font>
      <b/>
      <sz val="12"/>
      <color indexed="8"/>
      <name val="Arial"/>
      <family val="2"/>
    </font>
    <font>
      <b/>
      <sz val="12"/>
      <name val="Arial"/>
      <family val="2"/>
    </font>
    <font>
      <sz val="8"/>
      <name val="Arial"/>
      <family val="2"/>
    </font>
    <font>
      <u/>
      <sz val="9.5"/>
      <color indexed="12"/>
      <name val="Arial"/>
      <family val="2"/>
    </font>
    <font>
      <sz val="9.5"/>
      <color indexed="12"/>
      <name val="Arial"/>
      <family val="2"/>
    </font>
    <font>
      <b/>
      <sz val="10"/>
      <color indexed="10"/>
      <name val="Arial"/>
      <family val="2"/>
    </font>
    <font>
      <sz val="12"/>
      <color indexed="10"/>
      <name val="Arial"/>
      <family val="2"/>
    </font>
    <font>
      <sz val="10"/>
      <color indexed="81"/>
      <name val="Tahoma"/>
      <family val="2"/>
    </font>
    <font>
      <sz val="10"/>
      <color rgb="FF000000"/>
      <name val="Arial"/>
      <family val="2"/>
    </font>
  </fonts>
  <fills count="7">
    <fill>
      <patternFill patternType="none"/>
    </fill>
    <fill>
      <patternFill patternType="gray125"/>
    </fill>
    <fill>
      <patternFill patternType="solid">
        <fgColor indexed="58"/>
        <bgColor indexed="64"/>
      </patternFill>
    </fill>
    <fill>
      <patternFill patternType="solid">
        <fgColor indexed="9"/>
        <bgColor indexed="64"/>
      </patternFill>
    </fill>
    <fill>
      <patternFill patternType="solid">
        <fgColor indexed="22"/>
        <bgColor indexed="64"/>
      </patternFill>
    </fill>
    <fill>
      <patternFill patternType="solid">
        <fgColor indexed="41"/>
        <bgColor indexed="64"/>
      </patternFill>
    </fill>
    <fill>
      <patternFill patternType="solid">
        <fgColor theme="0"/>
        <bgColor indexed="64"/>
      </patternFill>
    </fill>
  </fills>
  <borders count="46">
    <border>
      <left/>
      <right/>
      <top/>
      <bottom/>
      <diagonal/>
    </border>
    <border>
      <left/>
      <right style="thick">
        <color indexed="22"/>
      </right>
      <top style="thick">
        <color indexed="48"/>
      </top>
      <bottom style="thin">
        <color indexed="32"/>
      </bottom>
      <diagonal/>
    </border>
    <border>
      <left style="thick">
        <color indexed="22"/>
      </left>
      <right/>
      <top style="thick">
        <color indexed="48"/>
      </top>
      <bottom style="thin">
        <color indexed="32"/>
      </bottom>
      <diagonal/>
    </border>
    <border>
      <left style="thick">
        <color indexed="22"/>
      </left>
      <right/>
      <top style="thick">
        <color indexed="22"/>
      </top>
      <bottom/>
      <diagonal/>
    </border>
    <border>
      <left/>
      <right/>
      <top style="thick">
        <color indexed="22"/>
      </top>
      <bottom/>
      <diagonal/>
    </border>
    <border>
      <left/>
      <right style="thick">
        <color indexed="22"/>
      </right>
      <top style="thick">
        <color indexed="22"/>
      </top>
      <bottom/>
      <diagonal/>
    </border>
    <border>
      <left style="thick">
        <color indexed="22"/>
      </left>
      <right/>
      <top/>
      <bottom/>
      <diagonal/>
    </border>
    <border>
      <left/>
      <right style="thick">
        <color indexed="22"/>
      </right>
      <top/>
      <bottom/>
      <diagonal/>
    </border>
    <border>
      <left style="thick">
        <color indexed="22"/>
      </left>
      <right/>
      <top/>
      <bottom style="thick">
        <color indexed="22"/>
      </bottom>
      <diagonal/>
    </border>
    <border>
      <left/>
      <right/>
      <top/>
      <bottom style="thick">
        <color indexed="22"/>
      </bottom>
      <diagonal/>
    </border>
    <border>
      <left/>
      <right style="thick">
        <color indexed="22"/>
      </right>
      <top/>
      <bottom style="thick">
        <color indexed="22"/>
      </bottom>
      <diagonal/>
    </border>
    <border>
      <left style="medium">
        <color indexed="32"/>
      </left>
      <right style="medium">
        <color indexed="32"/>
      </right>
      <top style="medium">
        <color indexed="32"/>
      </top>
      <bottom style="thin">
        <color indexed="32"/>
      </bottom>
      <diagonal/>
    </border>
    <border>
      <left style="medium">
        <color indexed="32"/>
      </left>
      <right style="medium">
        <color indexed="32"/>
      </right>
      <top/>
      <bottom style="medium">
        <color indexed="32"/>
      </bottom>
      <diagonal/>
    </border>
    <border>
      <left style="medium">
        <color indexed="32"/>
      </left>
      <right/>
      <top style="medium">
        <color indexed="32"/>
      </top>
      <bottom/>
      <diagonal/>
    </border>
    <border>
      <left/>
      <right/>
      <top style="medium">
        <color indexed="32"/>
      </top>
      <bottom/>
      <diagonal/>
    </border>
    <border>
      <left/>
      <right style="medium">
        <color indexed="32"/>
      </right>
      <top style="medium">
        <color indexed="32"/>
      </top>
      <bottom/>
      <diagonal/>
    </border>
    <border>
      <left/>
      <right style="medium">
        <color indexed="32"/>
      </right>
      <top/>
      <bottom/>
      <diagonal/>
    </border>
    <border>
      <left style="medium">
        <color indexed="32"/>
      </left>
      <right/>
      <top/>
      <bottom style="medium">
        <color indexed="32"/>
      </bottom>
      <diagonal/>
    </border>
    <border>
      <left/>
      <right/>
      <top/>
      <bottom style="medium">
        <color indexed="32"/>
      </bottom>
      <diagonal/>
    </border>
    <border>
      <left/>
      <right style="medium">
        <color indexed="32"/>
      </right>
      <top/>
      <bottom style="medium">
        <color indexed="32"/>
      </bottom>
      <diagonal/>
    </border>
    <border>
      <left style="medium">
        <color indexed="32"/>
      </left>
      <right style="medium">
        <color indexed="32"/>
      </right>
      <top/>
      <bottom/>
      <diagonal/>
    </border>
    <border>
      <left style="medium">
        <color indexed="32"/>
      </left>
      <right/>
      <top/>
      <bottom/>
      <diagonal/>
    </border>
    <border>
      <left style="medium">
        <color indexed="32"/>
      </left>
      <right style="medium">
        <color indexed="32"/>
      </right>
      <top/>
      <bottom style="thin">
        <color indexed="32"/>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right/>
      <top/>
      <bottom style="hair">
        <color indexed="22"/>
      </bottom>
      <diagonal/>
    </border>
    <border>
      <left/>
      <right/>
      <top/>
      <bottom style="hair">
        <color indexed="64"/>
      </bottom>
      <diagonal/>
    </border>
    <border>
      <left/>
      <right/>
      <top style="thick">
        <color indexed="48"/>
      </top>
      <bottom style="thin">
        <color indexed="32"/>
      </bottom>
      <diagonal/>
    </border>
    <border>
      <left style="medium">
        <color indexed="32"/>
      </left>
      <right style="medium">
        <color indexed="32"/>
      </right>
      <top style="medium">
        <color indexed="32"/>
      </top>
      <bottom style="medium">
        <color indexed="32"/>
      </bottom>
      <diagonal/>
    </border>
    <border>
      <left/>
      <right style="hair">
        <color indexed="64"/>
      </right>
      <top style="hair">
        <color indexed="64"/>
      </top>
      <bottom/>
      <diagonal/>
    </border>
    <border>
      <left/>
      <right style="hair">
        <color indexed="64"/>
      </right>
      <top/>
      <bottom/>
      <diagonal/>
    </border>
    <border>
      <left style="hair">
        <color indexed="64"/>
      </left>
      <right/>
      <top/>
      <bottom/>
      <diagonal/>
    </border>
    <border>
      <left style="hair">
        <color indexed="64"/>
      </left>
      <right/>
      <top/>
      <bottom style="hair">
        <color indexed="64"/>
      </bottom>
      <diagonal/>
    </border>
    <border>
      <left/>
      <right style="hair">
        <color indexed="64"/>
      </right>
      <top/>
      <bottom style="hair">
        <color indexed="64"/>
      </bottom>
      <diagonal/>
    </border>
    <border>
      <left style="medium">
        <color indexed="32"/>
      </left>
      <right style="medium">
        <color indexed="32"/>
      </right>
      <top style="thin">
        <color indexed="32"/>
      </top>
      <bottom style="medium">
        <color indexed="32"/>
      </bottom>
      <diagonal/>
    </border>
    <border>
      <left style="medium">
        <color indexed="32"/>
      </left>
      <right/>
      <top style="medium">
        <color indexed="32"/>
      </top>
      <bottom style="medium">
        <color indexed="32"/>
      </bottom>
      <diagonal/>
    </border>
    <border>
      <left/>
      <right style="medium">
        <color indexed="32"/>
      </right>
      <top style="medium">
        <color indexed="32"/>
      </top>
      <bottom style="medium">
        <color indexed="32"/>
      </bottom>
      <diagonal/>
    </border>
    <border>
      <left style="medium">
        <color indexed="32"/>
      </left>
      <right style="medium">
        <color indexed="32"/>
      </right>
      <top style="thin">
        <color indexed="32"/>
      </top>
      <bottom style="thin">
        <color indexed="32"/>
      </bottom>
      <diagonal/>
    </border>
    <border>
      <left style="hair">
        <color indexed="64"/>
      </left>
      <right style="hair">
        <color indexed="64"/>
      </right>
      <top/>
      <bottom/>
      <diagonal/>
    </border>
    <border>
      <left style="hair">
        <color indexed="64"/>
      </left>
      <right/>
      <top style="hair">
        <color indexed="64"/>
      </top>
      <bottom/>
      <diagonal/>
    </border>
    <border>
      <left/>
      <right/>
      <top style="hair">
        <color indexed="64"/>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diagonal/>
    </border>
  </borders>
  <cellStyleXfs count="6">
    <xf numFmtId="0" fontId="0" fillId="2" borderId="0"/>
    <xf numFmtId="0" fontId="19" fillId="0" borderId="0" applyNumberFormat="0" applyFill="0" applyBorder="0" applyAlignment="0" applyProtection="0">
      <alignment vertical="top"/>
      <protection locked="0"/>
    </xf>
    <xf numFmtId="0" fontId="4" fillId="2" borderId="0"/>
    <xf numFmtId="0" fontId="2" fillId="2" borderId="0"/>
    <xf numFmtId="167" fontId="2" fillId="0" borderId="0" applyFont="0" applyFill="0" applyBorder="0" applyAlignment="0" applyProtection="0"/>
    <xf numFmtId="168" fontId="2" fillId="0" borderId="0" applyFont="0" applyFill="0" applyBorder="0" applyAlignment="0" applyProtection="0"/>
  </cellStyleXfs>
  <cellXfs count="137">
    <xf numFmtId="0" fontId="0" fillId="2" borderId="0" xfId="0"/>
    <xf numFmtId="0" fontId="0" fillId="3" borderId="1" xfId="0" applyFill="1" applyBorder="1"/>
    <xf numFmtId="0" fontId="0" fillId="3" borderId="2" xfId="0" applyFill="1" applyBorder="1"/>
    <xf numFmtId="0" fontId="0" fillId="3" borderId="0"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1" fillId="3" borderId="0" xfId="0" applyFont="1" applyFill="1" applyBorder="1"/>
    <xf numFmtId="0" fontId="0" fillId="3" borderId="7" xfId="0" applyFill="1" applyBorder="1"/>
    <xf numFmtId="0" fontId="0" fillId="3" borderId="8" xfId="0" applyFill="1" applyBorder="1"/>
    <xf numFmtId="0" fontId="0" fillId="3" borderId="9" xfId="0" applyFill="1" applyBorder="1"/>
    <xf numFmtId="0" fontId="0" fillId="3" borderId="10" xfId="0" applyFill="1" applyBorder="1"/>
    <xf numFmtId="0" fontId="1" fillId="3" borderId="0" xfId="0" applyFont="1" applyFill="1" applyBorder="1" applyAlignment="1">
      <alignment horizontal="right"/>
    </xf>
    <xf numFmtId="9" fontId="1" fillId="3" borderId="0" xfId="0" applyNumberFormat="1" applyFont="1" applyFill="1" applyBorder="1"/>
    <xf numFmtId="49" fontId="0" fillId="3" borderId="11" xfId="0" applyNumberFormat="1" applyFill="1" applyBorder="1"/>
    <xf numFmtId="49" fontId="0" fillId="3" borderId="12" xfId="0" applyNumberFormat="1" applyFill="1" applyBorder="1"/>
    <xf numFmtId="1" fontId="5" fillId="3" borderId="0" xfId="0" applyNumberFormat="1" applyFont="1" applyFill="1" applyBorder="1"/>
    <xf numFmtId="0" fontId="0" fillId="3" borderId="0" xfId="0" quotePrefix="1" applyFill="1" applyBorder="1" applyAlignment="1">
      <alignment horizontal="right"/>
    </xf>
    <xf numFmtId="0" fontId="0" fillId="4" borderId="0" xfId="0" applyFill="1" applyBorder="1"/>
    <xf numFmtId="164" fontId="0" fillId="3" borderId="0" xfId="0" applyNumberFormat="1" applyFill="1" applyBorder="1"/>
    <xf numFmtId="0" fontId="3" fillId="3" borderId="0" xfId="0" applyFont="1" applyFill="1" applyBorder="1"/>
    <xf numFmtId="0" fontId="9" fillId="3" borderId="0" xfId="0" applyFont="1" applyFill="1" applyBorder="1"/>
    <xf numFmtId="0" fontId="6" fillId="3" borderId="0" xfId="0" applyFont="1" applyFill="1" applyBorder="1"/>
    <xf numFmtId="0" fontId="8" fillId="3" borderId="7" xfId="0" applyFont="1" applyFill="1" applyBorder="1" applyAlignment="1"/>
    <xf numFmtId="0" fontId="7" fillId="4" borderId="13" xfId="0" applyFont="1" applyFill="1" applyBorder="1"/>
    <xf numFmtId="0" fontId="0" fillId="4" borderId="14" xfId="0" applyFill="1" applyBorder="1"/>
    <xf numFmtId="0" fontId="0" fillId="4" borderId="15" xfId="0" applyFill="1" applyBorder="1"/>
    <xf numFmtId="0" fontId="0" fillId="4" borderId="16" xfId="0" applyFill="1" applyBorder="1"/>
    <xf numFmtId="0" fontId="0" fillId="4" borderId="0" xfId="0" applyFill="1" applyBorder="1" applyAlignment="1">
      <alignment horizontal="right"/>
    </xf>
    <xf numFmtId="0" fontId="0" fillId="4" borderId="17" xfId="0" applyFill="1" applyBorder="1"/>
    <xf numFmtId="0" fontId="0" fillId="4" borderId="18" xfId="0" applyFill="1" applyBorder="1"/>
    <xf numFmtId="0" fontId="0" fillId="4" borderId="19" xfId="0" applyFill="1" applyBorder="1"/>
    <xf numFmtId="0" fontId="0" fillId="4" borderId="13" xfId="0" applyFont="1" applyFill="1" applyBorder="1"/>
    <xf numFmtId="0" fontId="0" fillId="4" borderId="20" xfId="0" applyFill="1" applyBorder="1" applyAlignment="1">
      <alignment horizontal="right"/>
    </xf>
    <xf numFmtId="0" fontId="0" fillId="4" borderId="0" xfId="0" quotePrefix="1" applyFill="1" applyBorder="1" applyAlignment="1">
      <alignment horizontal="right"/>
    </xf>
    <xf numFmtId="0" fontId="0" fillId="4" borderId="21" xfId="0" applyFill="1" applyBorder="1" applyAlignment="1">
      <alignment horizontal="right"/>
    </xf>
    <xf numFmtId="49" fontId="0" fillId="3" borderId="22" xfId="0" applyNumberFormat="1" applyFill="1" applyBorder="1"/>
    <xf numFmtId="49" fontId="0" fillId="3" borderId="11" xfId="0" applyNumberFormat="1" applyFill="1" applyBorder="1" applyAlignment="1">
      <alignment horizontal="left"/>
    </xf>
    <xf numFmtId="49" fontId="0" fillId="3" borderId="22" xfId="0" applyNumberFormat="1" applyFill="1" applyBorder="1" applyAlignment="1">
      <alignment horizontal="left"/>
    </xf>
    <xf numFmtId="49" fontId="0" fillId="3" borderId="12" xfId="0" applyNumberFormat="1" applyFill="1" applyBorder="1" applyAlignment="1">
      <alignment horizontal="left"/>
    </xf>
    <xf numFmtId="0" fontId="0" fillId="4" borderId="0" xfId="0" applyFill="1"/>
    <xf numFmtId="0" fontId="0" fillId="4" borderId="21" xfId="0" applyFill="1" applyBorder="1"/>
    <xf numFmtId="0" fontId="0" fillId="3" borderId="0" xfId="0" applyFill="1"/>
    <xf numFmtId="164" fontId="0" fillId="4" borderId="21" xfId="0" applyNumberFormat="1" applyFill="1" applyBorder="1"/>
    <xf numFmtId="0" fontId="8" fillId="4" borderId="21" xfId="0" applyFont="1" applyFill="1" applyBorder="1" applyAlignment="1"/>
    <xf numFmtId="0" fontId="8" fillId="4" borderId="0" xfId="0" applyFont="1" applyFill="1" applyBorder="1" applyAlignment="1"/>
    <xf numFmtId="0" fontId="8" fillId="4" borderId="16" xfId="0" applyFont="1" applyFill="1" applyBorder="1" applyAlignment="1"/>
    <xf numFmtId="0" fontId="11" fillId="4" borderId="0" xfId="0" applyFont="1" applyFill="1" applyBorder="1" applyAlignment="1"/>
    <xf numFmtId="0" fontId="8" fillId="4" borderId="17" xfId="0" applyFont="1" applyFill="1" applyBorder="1" applyAlignment="1"/>
    <xf numFmtId="0" fontId="8" fillId="4" borderId="18" xfId="0" applyFont="1" applyFill="1" applyBorder="1" applyAlignment="1"/>
    <xf numFmtId="0" fontId="8" fillId="4" borderId="19" xfId="0" applyFont="1" applyFill="1" applyBorder="1" applyAlignment="1"/>
    <xf numFmtId="0" fontId="1" fillId="3" borderId="23" xfId="0" applyFont="1" applyFill="1" applyBorder="1" applyAlignment="1">
      <alignment horizontal="center"/>
    </xf>
    <xf numFmtId="0" fontId="0" fillId="3" borderId="24" xfId="0" applyFill="1" applyBorder="1" applyAlignment="1">
      <alignment horizontal="centerContinuous"/>
    </xf>
    <xf numFmtId="0" fontId="0" fillId="3" borderId="25" xfId="0" applyFill="1" applyBorder="1" applyAlignment="1">
      <alignment horizontal="centerContinuous"/>
    </xf>
    <xf numFmtId="0" fontId="1" fillId="3" borderId="26" xfId="0" applyFont="1"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left"/>
    </xf>
    <xf numFmtId="14" fontId="0" fillId="3" borderId="0" xfId="0" quotePrefix="1" applyNumberFormat="1" applyFill="1" applyBorder="1" applyAlignment="1">
      <alignment horizontal="left"/>
    </xf>
    <xf numFmtId="49" fontId="0" fillId="3" borderId="0" xfId="0" applyNumberFormat="1" applyFill="1" applyBorder="1"/>
    <xf numFmtId="0" fontId="0" fillId="3" borderId="0" xfId="0" applyNumberFormat="1" applyFont="1" applyFill="1" applyBorder="1" applyAlignment="1"/>
    <xf numFmtId="0" fontId="2" fillId="3" borderId="0" xfId="0" applyFont="1" applyFill="1" applyBorder="1"/>
    <xf numFmtId="0" fontId="2" fillId="3" borderId="0" xfId="0" applyFont="1" applyFill="1" applyBorder="1" applyAlignment="1">
      <alignment horizontal="right"/>
    </xf>
    <xf numFmtId="0" fontId="2" fillId="5" borderId="29" xfId="0" quotePrefix="1" applyFont="1" applyFill="1" applyBorder="1" applyAlignment="1">
      <alignment horizontal="center"/>
    </xf>
    <xf numFmtId="0" fontId="2" fillId="3" borderId="0" xfId="0" applyNumberFormat="1" applyFont="1" applyFill="1" applyBorder="1"/>
    <xf numFmtId="0" fontId="0" fillId="3" borderId="30" xfId="0" applyFill="1" applyBorder="1"/>
    <xf numFmtId="0" fontId="3" fillId="3" borderId="30" xfId="0" applyFont="1" applyFill="1" applyBorder="1"/>
    <xf numFmtId="0" fontId="8" fillId="3" borderId="0" xfId="0" applyFont="1" applyFill="1" applyBorder="1" applyAlignment="1"/>
    <xf numFmtId="0" fontId="2" fillId="3" borderId="0" xfId="0" applyFont="1" applyFill="1" applyBorder="1" applyAlignment="1"/>
    <xf numFmtId="49" fontId="0" fillId="3" borderId="28" xfId="0" applyNumberFormat="1" applyFill="1" applyBorder="1" applyAlignment="1">
      <alignment horizontal="left"/>
    </xf>
    <xf numFmtId="0" fontId="0" fillId="3" borderId="31" xfId="0" applyNumberFormat="1" applyFill="1" applyBorder="1" applyAlignment="1">
      <alignment horizontal="left"/>
    </xf>
    <xf numFmtId="49" fontId="0" fillId="3" borderId="32" xfId="0" applyNumberFormat="1" applyFill="1" applyBorder="1" applyAlignment="1">
      <alignment horizontal="left"/>
    </xf>
    <xf numFmtId="49" fontId="0" fillId="3" borderId="0" xfId="0" applyNumberFormat="1" applyFill="1" applyBorder="1" applyAlignment="1">
      <alignment horizontal="left"/>
    </xf>
    <xf numFmtId="49" fontId="0" fillId="3" borderId="33" xfId="0" applyNumberFormat="1" applyFill="1" applyBorder="1" applyAlignment="1">
      <alignment horizontal="left"/>
    </xf>
    <xf numFmtId="49" fontId="0" fillId="3" borderId="34" xfId="0" quotePrefix="1" applyNumberFormat="1" applyFill="1" applyBorder="1" applyAlignment="1">
      <alignment horizontal="left"/>
    </xf>
    <xf numFmtId="49" fontId="0" fillId="3" borderId="35" xfId="0" applyNumberFormat="1" applyFill="1" applyBorder="1" applyAlignment="1">
      <alignment horizontal="left"/>
    </xf>
    <xf numFmtId="49" fontId="0" fillId="3" borderId="29" xfId="0" applyNumberFormat="1" applyFill="1" applyBorder="1" applyAlignment="1">
      <alignment horizontal="left"/>
    </xf>
    <xf numFmtId="49" fontId="0" fillId="3" borderId="36" xfId="0" applyNumberFormat="1" applyFill="1" applyBorder="1" applyAlignment="1">
      <alignment horizontal="left"/>
    </xf>
    <xf numFmtId="10" fontId="0" fillId="3" borderId="12" xfId="0" applyNumberFormat="1" applyFill="1" applyBorder="1" applyAlignment="1">
      <alignment horizontal="left"/>
    </xf>
    <xf numFmtId="10" fontId="0" fillId="3" borderId="37" xfId="0" applyNumberFormat="1" applyFill="1" applyBorder="1" applyAlignment="1">
      <alignment horizontal="left"/>
    </xf>
    <xf numFmtId="164" fontId="0" fillId="2" borderId="0" xfId="0" applyNumberFormat="1" applyProtection="1">
      <protection locked="0"/>
    </xf>
    <xf numFmtId="0" fontId="1" fillId="3" borderId="23" xfId="0" applyFont="1" applyFill="1" applyBorder="1" applyAlignment="1">
      <alignment horizontal="centerContinuous"/>
    </xf>
    <xf numFmtId="0" fontId="10" fillId="3" borderId="0" xfId="0" applyFont="1" applyFill="1" applyBorder="1" applyAlignment="1">
      <alignment horizontal="center"/>
    </xf>
    <xf numFmtId="0" fontId="0" fillId="3" borderId="0" xfId="0" quotePrefix="1" applyFill="1" applyBorder="1"/>
    <xf numFmtId="0" fontId="0" fillId="5" borderId="38" xfId="0" applyNumberFormat="1" applyFill="1" applyBorder="1" applyAlignment="1">
      <alignment horizontal="left"/>
    </xf>
    <xf numFmtId="0" fontId="0" fillId="5" borderId="39" xfId="0" applyNumberFormat="1" applyFill="1" applyBorder="1" applyAlignment="1">
      <alignment horizontal="left"/>
    </xf>
    <xf numFmtId="0" fontId="4" fillId="0" borderId="0" xfId="2" applyFill="1"/>
    <xf numFmtId="165" fontId="4" fillId="0" borderId="0" xfId="2" applyNumberFormat="1" applyFill="1"/>
    <xf numFmtId="0" fontId="0" fillId="4" borderId="16" xfId="0" applyFill="1" applyBorder="1" applyAlignment="1">
      <alignment horizontal="right"/>
    </xf>
    <xf numFmtId="0" fontId="0" fillId="4" borderId="0" xfId="0" applyNumberFormat="1" applyFill="1" applyBorder="1" applyAlignment="1">
      <alignment horizontal="right"/>
    </xf>
    <xf numFmtId="0" fontId="0" fillId="4" borderId="0" xfId="0" applyFill="1" applyBorder="1" applyAlignment="1">
      <alignment horizontal="center"/>
    </xf>
    <xf numFmtId="1" fontId="0" fillId="2" borderId="0" xfId="0" applyNumberFormat="1"/>
    <xf numFmtId="14" fontId="0" fillId="2" borderId="0" xfId="0" applyNumberFormat="1"/>
    <xf numFmtId="49" fontId="0" fillId="2" borderId="0" xfId="0" applyNumberFormat="1"/>
    <xf numFmtId="169" fontId="0" fillId="3" borderId="31" xfId="0" applyNumberFormat="1" applyFill="1" applyBorder="1" applyAlignment="1">
      <alignment horizontal="left"/>
    </xf>
    <xf numFmtId="49" fontId="0" fillId="3" borderId="40" xfId="0" applyNumberFormat="1" applyFill="1" applyBorder="1" applyAlignment="1">
      <alignment horizontal="left"/>
    </xf>
    <xf numFmtId="0" fontId="1" fillId="3" borderId="23" xfId="0" applyNumberFormat="1" applyFont="1" applyFill="1" applyBorder="1" applyAlignment="1">
      <alignment horizontal="center"/>
    </xf>
    <xf numFmtId="169" fontId="13" fillId="5" borderId="41" xfId="0" applyNumberFormat="1" applyFont="1" applyFill="1" applyBorder="1"/>
    <xf numFmtId="49" fontId="13" fillId="3" borderId="34" xfId="0" applyNumberFormat="1" applyFont="1" applyFill="1" applyBorder="1" applyAlignment="1">
      <alignment horizontal="left"/>
    </xf>
    <xf numFmtId="49" fontId="13" fillId="3" borderId="42" xfId="0" applyNumberFormat="1" applyFont="1" applyFill="1" applyBorder="1" applyAlignment="1">
      <alignment horizontal="left"/>
    </xf>
    <xf numFmtId="49" fontId="13" fillId="3" borderId="43" xfId="0" applyNumberFormat="1" applyFont="1" applyFill="1" applyBorder="1" applyAlignment="1">
      <alignment horizontal="left"/>
    </xf>
    <xf numFmtId="49" fontId="13" fillId="3" borderId="0" xfId="0" applyNumberFormat="1" applyFont="1" applyFill="1" applyBorder="1" applyAlignment="1">
      <alignment horizontal="left"/>
    </xf>
    <xf numFmtId="49" fontId="13" fillId="3" borderId="34" xfId="0" quotePrefix="1" applyNumberFormat="1" applyFont="1" applyFill="1" applyBorder="1" applyAlignment="1">
      <alignment horizontal="left"/>
    </xf>
    <xf numFmtId="169" fontId="14" fillId="5" borderId="44" xfId="0" applyNumberFormat="1" applyFont="1" applyFill="1" applyBorder="1"/>
    <xf numFmtId="169" fontId="13" fillId="5" borderId="45" xfId="0" applyNumberFormat="1" applyFont="1" applyFill="1" applyBorder="1"/>
    <xf numFmtId="169" fontId="13" fillId="5" borderId="27" xfId="0" applyNumberFormat="1" applyFont="1" applyFill="1" applyBorder="1"/>
    <xf numFmtId="169" fontId="14" fillId="5" borderId="26" xfId="0" applyNumberFormat="1" applyFont="1" applyFill="1" applyBorder="1"/>
    <xf numFmtId="49" fontId="13" fillId="3" borderId="29" xfId="0" applyNumberFormat="1" applyFont="1" applyFill="1" applyBorder="1" applyAlignment="1">
      <alignment horizontal="left"/>
    </xf>
    <xf numFmtId="169" fontId="13" fillId="3" borderId="45" xfId="0" applyNumberFormat="1" applyFont="1" applyFill="1" applyBorder="1" applyAlignment="1"/>
    <xf numFmtId="169" fontId="13" fillId="3" borderId="41" xfId="0" applyNumberFormat="1" applyFont="1" applyFill="1" applyBorder="1" applyAlignment="1"/>
    <xf numFmtId="169" fontId="13" fillId="3" borderId="27" xfId="0" applyNumberFormat="1" applyFont="1" applyFill="1" applyBorder="1" applyAlignment="1"/>
    <xf numFmtId="14" fontId="13" fillId="3" borderId="45" xfId="0" applyNumberFormat="1" applyFont="1" applyFill="1" applyBorder="1" applyAlignment="1">
      <alignment horizontal="center"/>
    </xf>
    <xf numFmtId="171" fontId="13" fillId="3" borderId="41" xfId="0" applyNumberFormat="1" applyFont="1" applyFill="1" applyBorder="1" applyAlignment="1">
      <alignment horizontal="center"/>
    </xf>
    <xf numFmtId="0" fontId="13" fillId="3" borderId="41" xfId="0" applyFont="1" applyFill="1" applyBorder="1" applyAlignment="1">
      <alignment horizontal="center"/>
    </xf>
    <xf numFmtId="49" fontId="13" fillId="3" borderId="28" xfId="0" applyNumberFormat="1" applyFont="1" applyFill="1" applyBorder="1" applyAlignment="1">
      <alignment horizontal="left"/>
    </xf>
    <xf numFmtId="170" fontId="13" fillId="3" borderId="28" xfId="0" applyNumberFormat="1" applyFont="1" applyFill="1" applyBorder="1" applyAlignment="1">
      <alignment horizontal="left"/>
    </xf>
    <xf numFmtId="0" fontId="13" fillId="3" borderId="0" xfId="0" applyFont="1" applyFill="1" applyBorder="1" applyAlignment="1">
      <alignment horizontal="right"/>
    </xf>
    <xf numFmtId="14" fontId="2" fillId="3" borderId="0" xfId="0" applyNumberFormat="1" applyFont="1" applyFill="1" applyBorder="1"/>
    <xf numFmtId="9" fontId="2" fillId="5" borderId="29" xfId="0" quotePrefix="1" applyNumberFormat="1" applyFont="1" applyFill="1" applyBorder="1" applyAlignment="1">
      <alignment horizontal="center"/>
    </xf>
    <xf numFmtId="49" fontId="13" fillId="3" borderId="28" xfId="0" applyNumberFormat="1" applyFont="1" applyFill="1" applyBorder="1" applyAlignment="1" applyProtection="1">
      <alignment horizontal="left"/>
      <protection locked="0"/>
    </xf>
    <xf numFmtId="0" fontId="4" fillId="3" borderId="0" xfId="0" applyFont="1" applyFill="1" applyBorder="1" applyAlignment="1">
      <alignment horizontal="center"/>
    </xf>
    <xf numFmtId="0" fontId="0" fillId="0" borderId="0" xfId="0" applyFill="1"/>
    <xf numFmtId="0" fontId="15" fillId="0" borderId="0" xfId="0" applyFont="1" applyFill="1"/>
    <xf numFmtId="0" fontId="4" fillId="3" borderId="0" xfId="0" applyFont="1" applyFill="1" applyBorder="1"/>
    <xf numFmtId="49" fontId="16" fillId="3" borderId="34" xfId="0" applyNumberFormat="1" applyFont="1" applyFill="1" applyBorder="1" applyAlignment="1">
      <alignment horizontal="left"/>
    </xf>
    <xf numFmtId="49" fontId="17" fillId="3" borderId="34" xfId="0" applyNumberFormat="1" applyFont="1" applyFill="1" applyBorder="1" applyAlignment="1">
      <alignment horizontal="left"/>
    </xf>
    <xf numFmtId="49" fontId="20" fillId="3" borderId="28" xfId="1" applyNumberFormat="1" applyFont="1" applyFill="1" applyBorder="1" applyAlignment="1" applyProtection="1">
      <alignment horizontal="left"/>
    </xf>
    <xf numFmtId="0" fontId="21" fillId="3" borderId="0" xfId="0" applyFont="1" applyFill="1" applyBorder="1"/>
    <xf numFmtId="169" fontId="22" fillId="5" borderId="41" xfId="0" applyNumberFormat="1" applyFont="1" applyFill="1" applyBorder="1"/>
    <xf numFmtId="0" fontId="2" fillId="3" borderId="0" xfId="0" applyFont="1" applyFill="1"/>
    <xf numFmtId="49" fontId="19" fillId="3" borderId="28" xfId="1" applyNumberFormat="1" applyFill="1" applyBorder="1" applyAlignment="1" applyProtection="1">
      <alignment horizontal="left"/>
    </xf>
    <xf numFmtId="0" fontId="0" fillId="6" borderId="0" xfId="0" applyFill="1"/>
    <xf numFmtId="0" fontId="2" fillId="3" borderId="28" xfId="0" applyFont="1" applyFill="1" applyBorder="1" applyAlignment="1">
      <alignment horizontal="left"/>
    </xf>
    <xf numFmtId="0" fontId="17" fillId="6" borderId="0" xfId="0" applyFont="1" applyFill="1"/>
    <xf numFmtId="0" fontId="1" fillId="6" borderId="0" xfId="0" applyFont="1" applyFill="1"/>
    <xf numFmtId="0" fontId="13" fillId="3" borderId="0" xfId="0" applyFont="1" applyFill="1"/>
    <xf numFmtId="14" fontId="2" fillId="3" borderId="28" xfId="0" applyNumberFormat="1" applyFont="1" applyFill="1" applyBorder="1" applyAlignment="1">
      <alignment horizontal="left"/>
    </xf>
  </cellXfs>
  <cellStyles count="6">
    <cellStyle name="Hyperlink" xfId="1" builtinId="8"/>
    <cellStyle name="Normal" xfId="0" builtinId="0"/>
    <cellStyle name="Normal_Int. Data Table_1" xfId="2"/>
    <cellStyle name="Standard_Anpassen der Amortisation" xfId="3"/>
    <cellStyle name="Währung [0]_Compiling Utility Macros" xfId="4"/>
    <cellStyle name="Währung_Compiling Utility Macros" xf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5.xml"/><Relationship Id="rId13" Type="http://schemas.microsoft.com/office/2006/relationships/vbaProject" Target="vbaProject.bin"/><Relationship Id="rId3" Type="http://schemas.openxmlformats.org/officeDocument/2006/relationships/worksheet" Target="worksheets/sheet2.xml"/><Relationship Id="rId7" Type="http://schemas.openxmlformats.org/officeDocument/2006/relationships/worksheet" Target="worksheets/sheet4.xml"/><Relationship Id="rId12" Type="http://schemas.openxmlformats.org/officeDocument/2006/relationships/calcChain" Target="calcChain.xml"/><Relationship Id="rId2" Type="http://schemas.openxmlformats.org/officeDocument/2006/relationships/worksheet" Target="worksheets/sheet1.xml"/><Relationship Id="rId1" Type="http://schemas.microsoft.com/office/2006/relationships/xlIntlMacrosheet" Target="macrosheets/intlsheet1.xml"/><Relationship Id="rId6" Type="http://schemas.openxmlformats.org/officeDocument/2006/relationships/dialogsheet" Target="dialogsheets/sheet2.xml"/><Relationship Id="rId11" Type="http://schemas.openxmlformats.org/officeDocument/2006/relationships/sharedStrings" Target="sharedStrings.xml"/><Relationship Id="rId5" Type="http://schemas.openxmlformats.org/officeDocument/2006/relationships/dialogsheet" Target="dialogsheets/sheet1.xml"/><Relationship Id="rId10" Type="http://schemas.openxmlformats.org/officeDocument/2006/relationships/styles" Target="styles.xml"/><Relationship Id="rId4" Type="http://schemas.openxmlformats.org/officeDocument/2006/relationships/worksheet" Target="worksheets/sheet3.xml"/><Relationship Id="rId9" Type="http://schemas.openxmlformats.org/officeDocument/2006/relationships/theme" Target="theme/theme1.xml"/><Relationship Id="rId14" Type="http://schemas.microsoft.com/office/2006/relationships/attachedToolbars" Target="attachedToolbars.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dflt3" lockText="1"/>
</file>

<file path=xl/ctrlProps/ctrlProp5.xml><?xml version="1.0" encoding="utf-8"?>
<formControlPr xmlns="http://schemas.microsoft.com/office/spreadsheetml/2009/9/main" objectType="CheckBox" fmlaLink="dflt6" lockText="1"/>
</file>

<file path=xl/ctrlProps/ctrlProp6.xml><?xml version="1.0" encoding="utf-8"?>
<formControlPr xmlns="http://schemas.microsoft.com/office/spreadsheetml/2009/9/main" objectType="CheckBox" fmlaLink="_SHR1" lockText="1"/>
</file>

<file path=xl/ctrlProps/ctrlProp7.xml><?xml version="1.0" encoding="utf-8"?>
<formControlPr xmlns="http://schemas.microsoft.com/office/spreadsheetml/2009/9/main" objectType="Button" lockText="1"/>
</file>

<file path=xl/dialogsheets/_rels/sheet1.xml.rels><?xml version="1.0" encoding="UTF-8" standalone="yes"?>
<Relationships xmlns="http://schemas.openxmlformats.org/package/2006/relationships"><Relationship Id="rId1" Type="http://schemas.openxmlformats.org/officeDocument/2006/relationships/vmlDrawing" Target="../drawings/vmlDrawing3.vml"/></Relationships>
</file>

<file path=xl/dialogsheets/_rels/sheet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dialogsheets/sheet1.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Views>
    <sheetView showGridLines="0" showRowColHeaders="0" showZeros="0" showOutlineSymbols="0" workbookViewId="0"/>
  </sheetViews>
  <sheetFormatPr defaultColWidth="1" defaultRowHeight="5.25" customHeight="1" x14ac:dyDescent="0.2"/>
  <sheetProtection sheet="1"/>
  <customSheetViews>
    <customSheetView guid="{58F2F22E-C36E-4B61-A2F0-87B8DAF04981}" scale="0" showGridLines="0" showRowCol="0" outlineSymbols="0" zeroValues="0" state="veryHidden" showRuler="0">
      <pageMargins left="0.75" right="0.75" top="1" bottom="1" header="0.5" footer="0.5"/>
      <headerFooter alignWithMargins="0">
        <oddHeader>&amp;A</oddHeader>
        <oddFooter>Page &amp;P</oddFooter>
      </headerFooter>
    </customSheetView>
  </customSheetViews>
  <printOptions gridLinesSet="0"/>
  <pageMargins left="0.75" right="0.75" top="1" bottom="1" header="0.5" footer="0.5"/>
  <headerFooter alignWithMargins="0">
    <oddHeader>&amp;A</oddHeader>
    <oddFooter>Page &amp;P</oddFooter>
  </headerFooter>
  <legacyDrawing r:id="rId1"/>
</dialogsheet>
</file>

<file path=xl/dialogsheets/sheet2.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Views>
    <sheetView showGridLines="0" showRowColHeaders="0" showZeros="0" showOutlineSymbols="0" workbookViewId="0"/>
  </sheetViews>
  <sheetFormatPr defaultColWidth="1" defaultRowHeight="5.25" customHeight="1" x14ac:dyDescent="0.2"/>
  <sheetProtection sheet="1"/>
  <customSheetViews>
    <customSheetView guid="{58F2F22E-C36E-4B61-A2F0-87B8DAF04981}" scale="0" showGridLines="0" showRowCol="0" outlineSymbols="0" zeroValues="0" state="veryHidden" showRuler="0">
      <pageMargins left="0.75" right="0.75" top="1" bottom="1" header="0.5" footer="0.5"/>
      <pageSetup orientation="portrait" horizontalDpi="360" verticalDpi="360" copies="0" r:id="rId1"/>
      <headerFooter alignWithMargins="0">
        <oddHeader>&amp;A</oddHeader>
        <oddFooter>Page &amp;P</oddFooter>
      </headerFooter>
    </customSheetView>
  </customSheetViews>
  <printOptions gridLinesSet="0"/>
  <pageMargins left="0.75" right="0.75" top="1" bottom="1" header="0.5" footer="0.5"/>
  <pageSetup orientation="portrait" horizontalDpi="360" verticalDpi="360" copies="0" r:id="rId2"/>
  <headerFooter alignWithMargins="0">
    <oddHeader>&amp;A</oddHeader>
    <oddFooter>Page &amp;P</oddFooter>
  </headerFooter>
  <legacyDrawing r:id="rId3"/>
</dialogsheet>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304800</xdr:colOff>
          <xdr:row>6</xdr:row>
          <xdr:rowOff>76200</xdr:rowOff>
        </xdr:from>
        <xdr:to>
          <xdr:col>4</xdr:col>
          <xdr:colOff>1743075</xdr:colOff>
          <xdr:row>8</xdr:row>
          <xdr:rowOff>66675</xdr:rowOff>
        </xdr:to>
        <xdr:sp macro="" textlink="">
          <xdr:nvSpPr>
            <xdr:cNvPr id="1028" name="Lock"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Lås/spara blad</a:t>
              </a:r>
            </a:p>
          </xdr:txBody>
        </xdr:sp>
        <xdr:clientData fPrintsWithSheet="0"/>
      </xdr:twoCellAnchor>
    </mc:Choice>
    <mc:Fallback/>
  </mc:AlternateContent>
  <xdr:twoCellAnchor>
    <xdr:from>
      <xdr:col>4</xdr:col>
      <xdr:colOff>952500</xdr:colOff>
      <xdr:row>36</xdr:row>
      <xdr:rowOff>0</xdr:rowOff>
    </xdr:from>
    <xdr:to>
      <xdr:col>6</xdr:col>
      <xdr:colOff>1304925</xdr:colOff>
      <xdr:row>41</xdr:row>
      <xdr:rowOff>19050</xdr:rowOff>
    </xdr:to>
    <xdr:sp macro="[0]!Nada" textlink="">
      <xdr:nvSpPr>
        <xdr:cNvPr id="1030" name="LT"/>
        <xdr:cNvSpPr txBox="1">
          <a:spLocks noChangeArrowheads="1"/>
        </xdr:cNvSpPr>
      </xdr:nvSpPr>
      <xdr:spPr bwMode="auto">
        <a:xfrm>
          <a:off x="2562225" y="5267325"/>
          <a:ext cx="3648075" cy="1000125"/>
        </a:xfrm>
        <a:prstGeom prst="rect">
          <a:avLst/>
        </a:prstGeom>
        <a:solidFill>
          <a:srgbClr xmlns:mc="http://schemas.openxmlformats.org/markup-compatibility/2006" xmlns:a14="http://schemas.microsoft.com/office/drawing/2010/main" val="FFFFFF" mc:Ignorable="a14" a14:legacySpreadsheetColorIndex="9"/>
        </a:solidFill>
        <a:ln w="1">
          <a:solidFill>
            <a:srgbClr xmlns:mc="http://schemas.openxmlformats.org/markup-compatibility/2006" xmlns:a14="http://schemas.microsoft.com/office/drawing/2010/main" val="000000" mc:Ignorable="a14" a14:legacySpreadsheetColorIndex="8"/>
          </a:solidFill>
          <a:miter lim="800000"/>
          <a:headEnd/>
          <a:tailEnd/>
        </a:ln>
      </xdr:spPr>
      <xdr:txBody>
        <a:bodyPr vertOverflow="clip" wrap="square" lIns="45720" tIns="36576" rIns="0" bIns="0" anchor="t" upright="1"/>
        <a:lstStyle/>
        <a:p>
          <a:pPr algn="l" rtl="0">
            <a:defRPr sz="1000"/>
          </a:pPr>
          <a:r>
            <a:rPr lang="sv-SE" sz="2000" b="0" i="0" u="none" strike="noStrike" baseline="0">
              <a:solidFill>
                <a:srgbClr val="000000"/>
              </a:solidFill>
              <a:latin typeface="Arial"/>
              <a:cs typeface="Arial"/>
            </a:rPr>
            <a:t>Ingvar Svärd</a:t>
          </a:r>
          <a:endParaRPr lang="sv-SE" sz="1000" b="0" i="0" u="none" strike="noStrike" baseline="0">
            <a:solidFill>
              <a:srgbClr val="000000"/>
            </a:solidFill>
            <a:latin typeface="Arial"/>
            <a:cs typeface="Arial"/>
          </a:endParaRPr>
        </a:p>
        <a:p>
          <a:pPr algn="l" rtl="0">
            <a:defRPr sz="1000"/>
          </a:pPr>
          <a:r>
            <a:rPr lang="sv-SE" sz="1000" b="0" i="0" u="none" strike="noStrike" baseline="0">
              <a:solidFill>
                <a:srgbClr val="000000"/>
              </a:solidFill>
              <a:latin typeface="Arial"/>
              <a:cs typeface="Arial"/>
            </a:rPr>
            <a:t>Vagle 146</a:t>
          </a:r>
        </a:p>
        <a:p>
          <a:pPr algn="l" rtl="0">
            <a:defRPr sz="1000"/>
          </a:pPr>
          <a:r>
            <a:rPr lang="sv-SE" sz="1000" b="0" i="0" u="none" strike="noStrike" baseline="0">
              <a:solidFill>
                <a:srgbClr val="000000"/>
              </a:solidFill>
              <a:latin typeface="Arial"/>
              <a:cs typeface="Arial"/>
            </a:rPr>
            <a:t>832 96  Frösön</a:t>
          </a:r>
        </a:p>
        <a:p>
          <a:pPr algn="l" rtl="0">
            <a:defRPr sz="1000"/>
          </a:pPr>
          <a:r>
            <a:rPr lang="sv-SE" sz="1000" b="0" i="0" u="none" strike="noStrike" baseline="0">
              <a:solidFill>
                <a:srgbClr val="000000"/>
              </a:solidFill>
              <a:latin typeface="Arial"/>
              <a:cs typeface="Arial"/>
            </a:rPr>
            <a:t>063-432 46      070-550 94 48</a:t>
          </a:r>
          <a:endParaRPr lang="sv-SE"/>
        </a:p>
      </xdr:txBody>
    </xdr:sp>
    <xdr:clientData/>
  </xdr:twoCellAnchor>
  <mc:AlternateContent xmlns:mc="http://schemas.openxmlformats.org/markup-compatibility/2006">
    <mc:Choice xmlns:a14="http://schemas.microsoft.com/office/drawing/2010/main" Requires="a14">
      <xdr:twoCellAnchor>
        <xdr:from>
          <xdr:col>3</xdr:col>
          <xdr:colOff>571500</xdr:colOff>
          <xdr:row>41</xdr:row>
          <xdr:rowOff>123825</xdr:rowOff>
        </xdr:from>
        <xdr:to>
          <xdr:col>4</xdr:col>
          <xdr:colOff>561975</xdr:colOff>
          <xdr:row>42</xdr:row>
          <xdr:rowOff>219075</xdr:rowOff>
        </xdr:to>
        <xdr:sp macro="" textlink="">
          <xdr:nvSpPr>
            <xdr:cNvPr id="1031" name="LGBUT"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Välj logotyp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41</xdr:row>
          <xdr:rowOff>123825</xdr:rowOff>
        </xdr:from>
        <xdr:to>
          <xdr:col>6</xdr:col>
          <xdr:colOff>390525</xdr:colOff>
          <xdr:row>42</xdr:row>
          <xdr:rowOff>219075</xdr:rowOff>
        </xdr:to>
        <xdr:sp macro="" textlink="">
          <xdr:nvSpPr>
            <xdr:cNvPr id="1032" name="LTBU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Ändra teckensnitt</a:t>
              </a:r>
            </a:p>
          </xdr:txBody>
        </xdr:sp>
        <xdr:clientData fPrintsWithSheet="0"/>
      </xdr:twoCellAnchor>
    </mc:Choice>
    <mc:Fallback/>
  </mc:AlternateContent>
  <xdr:twoCellAnchor>
    <xdr:from>
      <xdr:col>3</xdr:col>
      <xdr:colOff>276225</xdr:colOff>
      <xdr:row>3</xdr:row>
      <xdr:rowOff>28575</xdr:rowOff>
    </xdr:from>
    <xdr:to>
      <xdr:col>4</xdr:col>
      <xdr:colOff>1762125</xdr:colOff>
      <xdr:row>5</xdr:row>
      <xdr:rowOff>123825</xdr:rowOff>
    </xdr:to>
    <xdr:sp macro="[0]!Nada" textlink="">
      <xdr:nvSpPr>
        <xdr:cNvPr id="1034" name="LBL"/>
        <xdr:cNvSpPr txBox="1">
          <a:spLocks noChangeArrowheads="1"/>
        </xdr:cNvSpPr>
      </xdr:nvSpPr>
      <xdr:spPr bwMode="auto">
        <a:xfrm>
          <a:off x="638175" y="276225"/>
          <a:ext cx="2733675" cy="3048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45720" tIns="36576" rIns="45720" bIns="36576" anchor="ctr" upright="1"/>
        <a:lstStyle/>
        <a:p>
          <a:pPr algn="ctr" rtl="0">
            <a:defRPr sz="1000"/>
          </a:pPr>
          <a:r>
            <a:rPr lang="sv-SE" sz="1800" b="1" i="1" u="none" strike="noStrike" baseline="0">
              <a:solidFill>
                <a:srgbClr val="000000"/>
              </a:solidFill>
              <a:latin typeface="Arial"/>
              <a:cs typeface="Arial"/>
            </a:rPr>
            <a:t>ANPASSA FAKTURA</a:t>
          </a:r>
          <a:endParaRPr lang="sv-SE"/>
        </a:p>
      </xdr:txBody>
    </xdr:sp>
    <xdr:clientData/>
  </xdr:twoCellAnchor>
  <mc:AlternateContent xmlns:mc="http://schemas.openxmlformats.org/markup-compatibility/2006">
    <mc:Choice xmlns:a14="http://schemas.microsoft.com/office/drawing/2010/main" Requires="a14">
      <xdr:twoCellAnchor editAs="oneCell">
        <xdr:from>
          <xdr:col>3</xdr:col>
          <xdr:colOff>828675</xdr:colOff>
          <xdr:row>22</xdr:row>
          <xdr:rowOff>142875</xdr:rowOff>
        </xdr:from>
        <xdr:to>
          <xdr:col>3</xdr:col>
          <xdr:colOff>1123950</xdr:colOff>
          <xdr:row>24</xdr:row>
          <xdr:rowOff>19050</xdr:rowOff>
        </xdr:to>
        <xdr:sp macro="" textlink="">
          <xdr:nvSpPr>
            <xdr:cNvPr id="1045" name="TX1" hidden="1">
              <a:extLst>
                <a:ext uri="{63B3BB69-23CF-44E3-9099-C40C66FF867C}">
                  <a14:compatExt spid="_x0000_s10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828675</xdr:colOff>
          <xdr:row>26</xdr:row>
          <xdr:rowOff>142875</xdr:rowOff>
        </xdr:from>
        <xdr:to>
          <xdr:col>3</xdr:col>
          <xdr:colOff>1123950</xdr:colOff>
          <xdr:row>28</xdr:row>
          <xdr:rowOff>19050</xdr:rowOff>
        </xdr:to>
        <xdr:sp macro="" textlink="">
          <xdr:nvSpPr>
            <xdr:cNvPr id="1046" name="TX2"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828675</xdr:colOff>
          <xdr:row>28</xdr:row>
          <xdr:rowOff>142875</xdr:rowOff>
        </xdr:from>
        <xdr:to>
          <xdr:col>3</xdr:col>
          <xdr:colOff>1123950</xdr:colOff>
          <xdr:row>30</xdr:row>
          <xdr:rowOff>9525</xdr:rowOff>
        </xdr:to>
        <xdr:sp macro="" textlink="">
          <xdr:nvSpPr>
            <xdr:cNvPr id="1048" name="SHR" hidden="1">
              <a:extLst>
                <a:ext uri="{63B3BB69-23CF-44E3-9099-C40C66FF867C}">
                  <a14:compatExt spid="_x0000_s10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752475</xdr:colOff>
      <xdr:row>36</xdr:row>
      <xdr:rowOff>28575</xdr:rowOff>
    </xdr:from>
    <xdr:to>
      <xdr:col>4</xdr:col>
      <xdr:colOff>352425</xdr:colOff>
      <xdr:row>40</xdr:row>
      <xdr:rowOff>152400</xdr:rowOff>
    </xdr:to>
    <xdr:sp macro="[0]!Nada" textlink="">
      <xdr:nvSpPr>
        <xdr:cNvPr id="1049" name="LG"/>
        <xdr:cNvSpPr txBox="1">
          <a:spLocks noChangeArrowheads="1"/>
        </xdr:cNvSpPr>
      </xdr:nvSpPr>
      <xdr:spPr bwMode="auto">
        <a:xfrm>
          <a:off x="1114425" y="5295900"/>
          <a:ext cx="847725" cy="923925"/>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27432" tIns="22860" rIns="27432" bIns="22860" anchor="ctr" upright="1"/>
        <a:lstStyle/>
        <a:p>
          <a:pPr algn="ctr" rtl="0">
            <a:defRPr sz="1000"/>
          </a:pPr>
          <a:r>
            <a:rPr lang="sv-SE" sz="1000" b="0" i="1" u="none" strike="noStrike" baseline="0">
              <a:solidFill>
                <a:srgbClr val="000000"/>
              </a:solidFill>
              <a:latin typeface="Arial"/>
              <a:cs typeface="Arial"/>
            </a:rPr>
            <a:t>Infoga</a:t>
          </a:r>
        </a:p>
        <a:p>
          <a:pPr algn="ctr" rtl="0">
            <a:defRPr sz="1000"/>
          </a:pPr>
          <a:r>
            <a:rPr lang="sv-SE" sz="1000" b="0" i="1" u="none" strike="noStrike" baseline="0">
              <a:solidFill>
                <a:srgbClr val="000000"/>
              </a:solidFill>
              <a:latin typeface="Arial"/>
              <a:cs typeface="Arial"/>
            </a:rPr>
            <a:t>logotyp</a:t>
          </a:r>
        </a:p>
        <a:p>
          <a:pPr algn="ctr" rtl="0">
            <a:defRPr sz="1000"/>
          </a:pPr>
          <a:r>
            <a:rPr lang="sv-SE" sz="1000" b="0" i="1" u="none" strike="noStrike" baseline="0">
              <a:solidFill>
                <a:srgbClr val="000000"/>
              </a:solidFill>
              <a:latin typeface="Arial"/>
              <a:cs typeface="Arial"/>
            </a:rPr>
            <a:t>här</a:t>
          </a:r>
          <a:endParaRPr lang="sv-SE"/>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6</xdr:col>
      <xdr:colOff>228600</xdr:colOff>
      <xdr:row>10</xdr:row>
      <xdr:rowOff>104775</xdr:rowOff>
    </xdr:from>
    <xdr:to>
      <xdr:col>13</xdr:col>
      <xdr:colOff>104775</xdr:colOff>
      <xdr:row>16</xdr:row>
      <xdr:rowOff>57150</xdr:rowOff>
    </xdr:to>
    <xdr:sp macro="" textlink="">
      <xdr:nvSpPr>
        <xdr:cNvPr id="2108" name="Rektangel 60"/>
        <xdr:cNvSpPr>
          <a:spLocks noChangeArrowheads="1"/>
        </xdr:cNvSpPr>
      </xdr:nvSpPr>
      <xdr:spPr bwMode="auto">
        <a:xfrm>
          <a:off x="1114425" y="1552575"/>
          <a:ext cx="3952875" cy="1066800"/>
        </a:xfrm>
        <a:prstGeom prst="roundRect">
          <a:avLst>
            <a:gd name="adj" fmla="val 16667"/>
          </a:avLst>
        </a:prstGeom>
        <a:noFill/>
        <a:ln w="9525">
          <a:solidFill>
            <a:srgbClr xmlns:mc="http://schemas.openxmlformats.org/markup-compatibility/2006" xmlns:a14="http://schemas.microsoft.com/office/drawing/2010/main" val="000080" mc:Ignorable="a14" a14:legacySpreadsheetColorIndex="32"/>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8</xdr:col>
      <xdr:colOff>76200</xdr:colOff>
      <xdr:row>51</xdr:row>
      <xdr:rowOff>76200</xdr:rowOff>
    </xdr:from>
    <xdr:to>
      <xdr:col>16</xdr:col>
      <xdr:colOff>0</xdr:colOff>
      <xdr:row>53</xdr:row>
      <xdr:rowOff>85725</xdr:rowOff>
    </xdr:to>
    <xdr:sp macro="[0]!FareWellStmnt" textlink="">
      <xdr:nvSpPr>
        <xdr:cNvPr id="2062" name="FS"/>
        <xdr:cNvSpPr txBox="1">
          <a:spLocks noChangeArrowheads="1"/>
        </xdr:cNvSpPr>
      </xdr:nvSpPr>
      <xdr:spPr bwMode="auto">
        <a:xfrm>
          <a:off x="1924050" y="8886825"/>
          <a:ext cx="4324350" cy="333375"/>
        </a:xfrm>
        <a:prstGeom prst="rect">
          <a:avLst/>
        </a:prstGeom>
        <a:solidFill>
          <a:srgbClr xmlns:mc="http://schemas.openxmlformats.org/markup-compatibility/2006" xmlns:a14="http://schemas.microsoft.com/office/drawing/2010/main" val="C0C0C0" mc:Ignorable="a14" a14:legacySpreadsheetColorIndex="22"/>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0" rIns="0" bIns="0" anchor="ctr" upright="1"/>
        <a:lstStyle/>
        <a:p>
          <a:pPr algn="ctr" rtl="0">
            <a:defRPr sz="1000"/>
          </a:pPr>
          <a:endParaRPr lang="sv-SE"/>
        </a:p>
      </xdr:txBody>
    </xdr:sp>
    <xdr:clientData/>
  </xdr:twoCellAnchor>
  <xdr:twoCellAnchor>
    <xdr:from>
      <xdr:col>7</xdr:col>
      <xdr:colOff>171450</xdr:colOff>
      <xdr:row>3</xdr:row>
      <xdr:rowOff>9525</xdr:rowOff>
    </xdr:from>
    <xdr:to>
      <xdr:col>11</xdr:col>
      <xdr:colOff>209550</xdr:colOff>
      <xdr:row>7</xdr:row>
      <xdr:rowOff>123825</xdr:rowOff>
    </xdr:to>
    <xdr:sp macro="[0]!Nada" textlink="">
      <xdr:nvSpPr>
        <xdr:cNvPr id="2066" name="LT"/>
        <xdr:cNvSpPr txBox="1">
          <a:spLocks noChangeArrowheads="1"/>
        </xdr:cNvSpPr>
      </xdr:nvSpPr>
      <xdr:spPr bwMode="auto">
        <a:xfrm>
          <a:off x="1304925" y="257175"/>
          <a:ext cx="3000375" cy="9334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45720" tIns="32004" rIns="0" bIns="0" anchor="t" upright="1"/>
        <a:lstStyle/>
        <a:p>
          <a:pPr algn="l" rtl="0">
            <a:defRPr sz="1000"/>
          </a:pPr>
          <a:r>
            <a:rPr lang="sv-SE" sz="2000" b="0" i="0" u="none" strike="noStrike" baseline="0">
              <a:solidFill>
                <a:srgbClr val="000000"/>
              </a:solidFill>
              <a:latin typeface="Arial"/>
              <a:cs typeface="Arial"/>
            </a:rPr>
            <a:t>Östersunds Squash </a:t>
          </a:r>
        </a:p>
        <a:p>
          <a:pPr algn="l" rtl="0">
            <a:defRPr sz="1000"/>
          </a:pPr>
          <a:r>
            <a:rPr lang="sv-SE" sz="1200" b="0" i="0" u="none" strike="noStrike" baseline="0">
              <a:solidFill>
                <a:srgbClr val="000000"/>
              </a:solidFill>
              <a:latin typeface="Arial"/>
              <a:cs typeface="Arial"/>
            </a:rPr>
            <a:t>c/o Hans Ling</a:t>
          </a:r>
        </a:p>
        <a:p>
          <a:pPr algn="l" rtl="0">
            <a:defRPr sz="1000"/>
          </a:pPr>
          <a:r>
            <a:rPr lang="sv-SE" sz="1200" b="0" i="0" u="none" strike="noStrike" baseline="0">
              <a:solidFill>
                <a:srgbClr val="000000"/>
              </a:solidFill>
              <a:latin typeface="Arial"/>
              <a:cs typeface="Arial"/>
            </a:rPr>
            <a:t>Alex Berggren</a:t>
          </a:r>
          <a:endParaRPr lang="sv-SE"/>
        </a:p>
      </xdr:txBody>
    </xdr:sp>
    <xdr:clientData/>
  </xdr:twoCellAnchor>
  <xdr:twoCellAnchor>
    <xdr:from>
      <xdr:col>13</xdr:col>
      <xdr:colOff>180975</xdr:colOff>
      <xdr:row>10</xdr:row>
      <xdr:rowOff>66675</xdr:rowOff>
    </xdr:from>
    <xdr:to>
      <xdr:col>17</xdr:col>
      <xdr:colOff>114300</xdr:colOff>
      <xdr:row>16</xdr:row>
      <xdr:rowOff>57150</xdr:rowOff>
    </xdr:to>
    <xdr:sp macro="" textlink="">
      <xdr:nvSpPr>
        <xdr:cNvPr id="2087" name="INVB2"/>
        <xdr:cNvSpPr>
          <a:spLocks noChangeArrowheads="1"/>
        </xdr:cNvSpPr>
      </xdr:nvSpPr>
      <xdr:spPr bwMode="auto">
        <a:xfrm>
          <a:off x="5143500" y="1514475"/>
          <a:ext cx="2266950" cy="1104900"/>
        </a:xfrm>
        <a:prstGeom prst="roundRect">
          <a:avLst>
            <a:gd name="adj" fmla="val 16667"/>
          </a:avLst>
        </a:prstGeom>
        <a:noFill/>
        <a:ln w="9525">
          <a:solidFill>
            <a:srgbClr xmlns:mc="http://schemas.openxmlformats.org/markup-compatibility/2006" xmlns:a14="http://schemas.microsoft.com/office/drawing/2010/main" val="000080" mc:Ignorable="a14" a14:legacySpreadsheetColorIndex="32"/>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7</xdr:col>
      <xdr:colOff>628650</xdr:colOff>
      <xdr:row>37</xdr:row>
      <xdr:rowOff>38100</xdr:rowOff>
    </xdr:from>
    <xdr:to>
      <xdr:col>10</xdr:col>
      <xdr:colOff>390525</xdr:colOff>
      <xdr:row>40</xdr:row>
      <xdr:rowOff>133350</xdr:rowOff>
    </xdr:to>
    <xdr:sp macro="" textlink="">
      <xdr:nvSpPr>
        <xdr:cNvPr id="2088" name="INVB3"/>
        <xdr:cNvSpPr>
          <a:spLocks noChangeArrowheads="1"/>
        </xdr:cNvSpPr>
      </xdr:nvSpPr>
      <xdr:spPr bwMode="auto">
        <a:xfrm>
          <a:off x="1762125" y="6534150"/>
          <a:ext cx="1666875" cy="666750"/>
        </a:xfrm>
        <a:prstGeom prst="roundRect">
          <a:avLst>
            <a:gd name="adj" fmla="val 16667"/>
          </a:avLst>
        </a:prstGeom>
        <a:noFill/>
        <a:ln w="9525">
          <a:solidFill>
            <a:srgbClr xmlns:mc="http://schemas.openxmlformats.org/markup-compatibility/2006" xmlns:a14="http://schemas.microsoft.com/office/drawing/2010/main" val="000080" mc:Ignorable="a14" a14:legacySpreadsheetColorIndex="32"/>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mc:AlternateContent xmlns:mc="http://schemas.openxmlformats.org/markup-compatibility/2006">
    <mc:Choice xmlns:a14="http://schemas.microsoft.com/office/drawing/2010/main" Requires="a14">
      <xdr:twoCellAnchor>
        <xdr:from>
          <xdr:col>15</xdr:col>
          <xdr:colOff>561975</xdr:colOff>
          <xdr:row>4</xdr:row>
          <xdr:rowOff>133350</xdr:rowOff>
        </xdr:from>
        <xdr:to>
          <xdr:col>16</xdr:col>
          <xdr:colOff>714375</xdr:colOff>
          <xdr:row>6</xdr:row>
          <xdr:rowOff>47625</xdr:rowOff>
        </xdr:to>
        <xdr:sp macro="" textlink="">
          <xdr:nvSpPr>
            <xdr:cNvPr id="2101" name="CUST" hidden="1">
              <a:extLst>
                <a:ext uri="{63B3BB69-23CF-44E3-9099-C40C66FF867C}">
                  <a14:compatExt spid="_x0000_s2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Anpassa...</a:t>
              </a:r>
            </a:p>
          </xdr:txBody>
        </xdr:sp>
        <xdr:clientData fPrintsWithSheet="0"/>
      </xdr:twoCellAnchor>
    </mc:Choice>
    <mc:Fallback/>
  </mc:AlternateContent>
  <xdr:twoCellAnchor>
    <xdr:from>
      <xdr:col>8</xdr:col>
      <xdr:colOff>390525</xdr:colOff>
      <xdr:row>26</xdr:row>
      <xdr:rowOff>104775</xdr:rowOff>
    </xdr:from>
    <xdr:to>
      <xdr:col>10</xdr:col>
      <xdr:colOff>914400</xdr:colOff>
      <xdr:row>32</xdr:row>
      <xdr:rowOff>38100</xdr:rowOff>
    </xdr:to>
    <xdr:sp macro="[0]!Nada" textlink="">
      <xdr:nvSpPr>
        <xdr:cNvPr id="2107" name="LG"/>
        <xdr:cNvSpPr txBox="1">
          <a:spLocks noChangeArrowheads="1"/>
        </xdr:cNvSpPr>
      </xdr:nvSpPr>
      <xdr:spPr bwMode="auto">
        <a:xfrm>
          <a:off x="2238375" y="4505325"/>
          <a:ext cx="1714500" cy="1076325"/>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27432" tIns="22860" rIns="27432" bIns="22860" anchor="ctr" upright="1"/>
        <a:lstStyle/>
        <a:p>
          <a:pPr algn="ctr" rtl="0">
            <a:lnSpc>
              <a:spcPts val="1100"/>
            </a:lnSpc>
            <a:defRPr sz="1000"/>
          </a:pPr>
          <a:r>
            <a:rPr lang="sv-SE" sz="1000" b="0" i="1" u="none" strike="noStrike" baseline="0">
              <a:solidFill>
                <a:srgbClr val="000000"/>
              </a:solidFill>
              <a:latin typeface="Arial"/>
              <a:cs typeface="Arial"/>
            </a:rPr>
            <a:t>Infoga</a:t>
          </a:r>
        </a:p>
        <a:p>
          <a:pPr algn="ctr" rtl="0">
            <a:lnSpc>
              <a:spcPts val="1100"/>
            </a:lnSpc>
            <a:defRPr sz="1000"/>
          </a:pPr>
          <a:r>
            <a:rPr lang="sv-SE" sz="1000" b="0" i="1" u="none" strike="noStrike" baseline="0">
              <a:solidFill>
                <a:srgbClr val="000000"/>
              </a:solidFill>
              <a:latin typeface="Arial"/>
              <a:cs typeface="Arial"/>
            </a:rPr>
            <a:t>logotyp</a:t>
          </a:r>
        </a:p>
        <a:p>
          <a:pPr algn="ctr" rtl="0">
            <a:defRPr sz="1000"/>
          </a:pPr>
          <a:r>
            <a:rPr lang="sv-SE" sz="1000" b="0" i="1" u="none" strike="noStrike" baseline="0">
              <a:solidFill>
                <a:srgbClr val="000000"/>
              </a:solidFill>
              <a:latin typeface="Arial"/>
              <a:cs typeface="Arial"/>
            </a:rPr>
            <a:t>här</a:t>
          </a:r>
          <a:endParaRPr lang="sv-SE"/>
        </a:p>
      </xdr:txBody>
    </xdr:sp>
    <xdr:clientData fPrintsWithSheet="0"/>
  </xdr:twoCellAnchor>
  <xdr:twoCellAnchor>
    <xdr:from>
      <xdr:col>15</xdr:col>
      <xdr:colOff>428625</xdr:colOff>
      <xdr:row>7</xdr:row>
      <xdr:rowOff>28575</xdr:rowOff>
    </xdr:from>
    <xdr:to>
      <xdr:col>16</xdr:col>
      <xdr:colOff>838200</xdr:colOff>
      <xdr:row>9</xdr:row>
      <xdr:rowOff>142875</xdr:rowOff>
    </xdr:to>
    <xdr:sp macro="[0]!Nada" textlink="">
      <xdr:nvSpPr>
        <xdr:cNvPr id="2086" name="LBL"/>
        <xdr:cNvSpPr txBox="1">
          <a:spLocks noChangeArrowheads="1"/>
        </xdr:cNvSpPr>
      </xdr:nvSpPr>
      <xdr:spPr bwMode="auto">
        <a:xfrm>
          <a:off x="5829300" y="1095375"/>
          <a:ext cx="1257300" cy="3238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45720" tIns="36576" rIns="45720" bIns="36576" anchor="ctr" upright="1"/>
        <a:lstStyle/>
        <a:p>
          <a:pPr algn="ctr" rtl="0">
            <a:defRPr sz="1000"/>
          </a:pPr>
          <a:r>
            <a:rPr lang="sv-SE" sz="1800" b="1" i="1" u="none" strike="noStrike" baseline="0">
              <a:solidFill>
                <a:srgbClr val="000000"/>
              </a:solidFill>
              <a:latin typeface="Arial"/>
              <a:cs typeface="Arial"/>
            </a:rPr>
            <a:t>FAKTURA</a:t>
          </a:r>
          <a:endParaRPr lang="sv-SE"/>
        </a:p>
      </xdr:txBody>
    </xdr:sp>
    <xdr:clientData/>
  </xdr:twoCellAnchor>
  <xdr:twoCellAnchor>
    <xdr:from>
      <xdr:col>8</xdr:col>
      <xdr:colOff>180975</xdr:colOff>
      <xdr:row>36</xdr:row>
      <xdr:rowOff>171450</xdr:rowOff>
    </xdr:from>
    <xdr:to>
      <xdr:col>9</xdr:col>
      <xdr:colOff>552450</xdr:colOff>
      <xdr:row>38</xdr:row>
      <xdr:rowOff>0</xdr:rowOff>
    </xdr:to>
    <xdr:sp macro="[0]!Nada" textlink="">
      <xdr:nvSpPr>
        <xdr:cNvPr id="2089" name="INV2"/>
        <xdr:cNvSpPr txBox="1">
          <a:spLocks noChangeArrowheads="1"/>
        </xdr:cNvSpPr>
      </xdr:nvSpPr>
      <xdr:spPr bwMode="auto">
        <a:xfrm>
          <a:off x="2028825" y="6477000"/>
          <a:ext cx="9525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sv-SE" sz="1000" b="1" i="0" u="none" strike="noStrike" baseline="0">
              <a:solidFill>
                <a:srgbClr val="000000"/>
              </a:solidFill>
              <a:latin typeface="Arial"/>
              <a:cs typeface="Arial"/>
            </a:rPr>
            <a:t>Betalning</a:t>
          </a:r>
          <a:endParaRPr lang="sv-SE"/>
        </a:p>
      </xdr:txBody>
    </xdr:sp>
    <xdr:clientData/>
  </xdr:twoCellAnchor>
</xdr:wsDr>
</file>

<file path=xl/macrosheets/intl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A11"/>
  <sheetViews>
    <sheetView showFormulas="1" zoomScale="95" workbookViewId="0"/>
  </sheetViews>
  <sheetFormatPr defaultRowHeight="12.75" x14ac:dyDescent="0.2"/>
  <sheetData>
    <row r="1" spans="1:1" x14ac:dyDescent="0.2">
      <c r="A1" t="b">
        <f>IF(ISERROR(MATCH("WZTEMPLT.XLA", DOCUMENTS(3), 0)))</f>
        <v>1</v>
      </c>
    </row>
    <row r="2" spans="1:1" x14ac:dyDescent="0.2">
      <c r="A2" t="b">
        <f>ERROR(FALSE)</f>
        <v>1</v>
      </c>
    </row>
    <row r="3" spans="1:1" x14ac:dyDescent="0.2">
      <c r="A3" t="e">
        <f>OPEN(GET.WORKSPACE(48)&amp;"\WZTEMPLT.XLA")</f>
        <v>#VALUE!</v>
      </c>
    </row>
    <row r="4" spans="1:1" x14ac:dyDescent="0.2">
      <c r="A4" t="b">
        <f>ERROR(TRUE)</f>
        <v>1</v>
      </c>
    </row>
    <row r="5" spans="1:1" x14ac:dyDescent="0.2">
      <c r="A5" t="b">
        <f>IF(ISERROR(A3))</f>
        <v>1</v>
      </c>
    </row>
    <row r="6" spans="1:1" x14ac:dyDescent="0.2">
      <c r="A6" t="b">
        <f>ALERT("Det går inte att starta Mallguiden.")</f>
        <v>1</v>
      </c>
    </row>
    <row r="7" spans="1:1" x14ac:dyDescent="0.2">
      <c r="A7" t="b">
        <f>RETURN()</f>
        <v>1</v>
      </c>
    </row>
    <row r="8" spans="1:1" x14ac:dyDescent="0.2">
      <c r="A8" t="b">
        <f>END.IF()</f>
        <v>0</v>
      </c>
    </row>
    <row r="9" spans="1:1" x14ac:dyDescent="0.2">
      <c r="A9" t="b">
        <f>END.IF()</f>
        <v>1</v>
      </c>
    </row>
    <row r="10" spans="1:1" x14ac:dyDescent="0.2">
      <c r="A10">
        <f>RUN("WZTEMPLT.XLA!AutoOpenFromTemplate")</f>
        <v>0</v>
      </c>
    </row>
    <row r="11" spans="1:1" x14ac:dyDescent="0.2">
      <c r="A11" t="b">
        <f>RETURN()</f>
        <v>1</v>
      </c>
    </row>
  </sheetData>
  <customSheetViews>
    <customSheetView guid="{58F2F22E-C36E-4B61-A2F0-87B8DAF04981}" scale="95" showFormulas="1" state="veryHidden" showRuler="0">
      <pageMargins left="0.75" right="0.75" top="1" bottom="1" header="0.5" footer="0.5"/>
      <headerFooter alignWithMargins="0">
        <oddHeader>&amp;A</oddHeader>
        <oddFooter>Sida &amp;P</oddFooter>
      </headerFooter>
    </customSheetView>
  </customSheetViews>
  <phoneticPr fontId="18" type="noConversion"/>
  <pageMargins left="0.75" right="0.75" top="1" bottom="1" header="0.5" footer="0.5"/>
  <headerFooter alignWithMargins="0">
    <oddHeader>&amp;A</oddHeader>
    <oddFooter>Sida &amp;P</oddFooter>
  </headerFooter>
</xm:macrosheet>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omments" Target="../comments1.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4.bin"/><Relationship Id="rId7" Type="http://schemas.openxmlformats.org/officeDocument/2006/relationships/comments" Target="../comments2.xml"/><Relationship Id="rId2" Type="http://schemas.openxmlformats.org/officeDocument/2006/relationships/hyperlink" Target="mailto:eva.edholm@ostersund.se" TargetMode="Externa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B1:J51"/>
  <sheetViews>
    <sheetView showGridLines="0" showRowColHeaders="0" topLeftCell="A3" zoomScale="95" workbookViewId="0">
      <selection activeCell="F15" sqref="F15"/>
    </sheetView>
  </sheetViews>
  <sheetFormatPr defaultRowHeight="12.75" x14ac:dyDescent="0.2"/>
  <cols>
    <col min="1" max="1" width="1.28515625" customWidth="1"/>
    <col min="2" max="2" width="0.42578125" customWidth="1"/>
    <col min="3" max="3" width="3.7109375" customWidth="1"/>
    <col min="4" max="4" width="18.7109375" customWidth="1"/>
    <col min="5" max="5" width="30.7109375" customWidth="1"/>
    <col min="6" max="6" width="18.7109375" customWidth="1"/>
    <col min="7" max="7" width="31.5703125" customWidth="1"/>
    <col min="8" max="9" width="3.7109375" customWidth="1"/>
    <col min="10" max="10" width="0.42578125" customWidth="1"/>
  </cols>
  <sheetData>
    <row r="1" spans="2:10" ht="6" customHeight="1" thickBot="1" x14ac:dyDescent="0.25"/>
    <row r="2" spans="2:10" ht="0.95" customHeight="1" thickTop="1" x14ac:dyDescent="0.2">
      <c r="B2" s="4"/>
      <c r="C2" s="5"/>
      <c r="D2" s="5"/>
      <c r="E2" s="5"/>
      <c r="F2" s="5"/>
      <c r="G2" s="5"/>
      <c r="H2" s="5"/>
      <c r="I2" s="5"/>
      <c r="J2" s="6"/>
    </row>
    <row r="3" spans="2:10" x14ac:dyDescent="0.2">
      <c r="B3" s="7"/>
      <c r="C3" s="3"/>
      <c r="D3" s="3"/>
      <c r="E3" s="3"/>
      <c r="F3" s="3"/>
      <c r="G3" s="3"/>
      <c r="H3" s="3"/>
      <c r="I3" s="3"/>
      <c r="J3" s="9"/>
    </row>
    <row r="4" spans="2:10" ht="13.5" thickBot="1" x14ac:dyDescent="0.25">
      <c r="B4" s="7"/>
      <c r="C4" s="3"/>
      <c r="D4" s="3"/>
      <c r="E4" s="3"/>
      <c r="F4" s="3"/>
      <c r="G4" s="3"/>
      <c r="H4" s="3"/>
      <c r="I4" s="3"/>
      <c r="J4" s="9"/>
    </row>
    <row r="5" spans="2:10" ht="3" customHeight="1" thickTop="1" x14ac:dyDescent="0.2">
      <c r="B5" s="2"/>
      <c r="C5" s="65"/>
      <c r="D5" s="65"/>
      <c r="E5" s="65"/>
      <c r="F5" s="65"/>
      <c r="G5" s="65"/>
      <c r="H5" s="65"/>
      <c r="I5" s="65"/>
      <c r="J5" s="1"/>
    </row>
    <row r="6" spans="2:10" ht="18.75" x14ac:dyDescent="0.3">
      <c r="B6" s="7"/>
      <c r="C6" s="3"/>
      <c r="D6" s="21"/>
      <c r="E6" s="3"/>
      <c r="F6" s="3"/>
      <c r="G6" s="3"/>
      <c r="H6" s="3"/>
      <c r="I6" s="3"/>
      <c r="J6" s="9"/>
    </row>
    <row r="7" spans="2:10" x14ac:dyDescent="0.2">
      <c r="B7" s="7"/>
      <c r="C7" s="3"/>
      <c r="D7" s="3"/>
      <c r="E7" s="3"/>
      <c r="F7" s="3"/>
      <c r="G7" s="82" t="s">
        <v>0</v>
      </c>
      <c r="H7" s="3"/>
      <c r="I7" s="3"/>
      <c r="J7" s="9"/>
    </row>
    <row r="8" spans="2:10" x14ac:dyDescent="0.2">
      <c r="B8" s="7"/>
      <c r="C8" s="3"/>
      <c r="D8" s="3"/>
      <c r="E8" s="3"/>
      <c r="F8" s="3"/>
      <c r="G8" s="82" t="s">
        <v>1</v>
      </c>
      <c r="H8" s="3"/>
      <c r="I8" s="3"/>
      <c r="J8" s="9"/>
    </row>
    <row r="9" spans="2:10" x14ac:dyDescent="0.2">
      <c r="B9" s="7"/>
      <c r="C9" s="3"/>
      <c r="D9" s="22"/>
      <c r="E9" s="3"/>
      <c r="F9" s="3"/>
      <c r="G9" s="43"/>
      <c r="H9" s="3"/>
      <c r="I9" s="3"/>
      <c r="J9" s="9"/>
    </row>
    <row r="10" spans="2:10" ht="13.5" thickBot="1" x14ac:dyDescent="0.25">
      <c r="B10" s="7"/>
      <c r="C10" s="3"/>
      <c r="D10" s="23" t="s">
        <v>2</v>
      </c>
      <c r="E10" s="3"/>
      <c r="F10" s="3"/>
      <c r="G10" s="3"/>
      <c r="H10" s="3"/>
      <c r="I10" s="3"/>
      <c r="J10" s="9"/>
    </row>
    <row r="11" spans="2:10" ht="5.25" customHeight="1" thickBot="1" x14ac:dyDescent="0.25">
      <c r="B11" s="7"/>
      <c r="C11" s="3"/>
      <c r="D11" s="25"/>
      <c r="E11" s="26"/>
      <c r="F11" s="26"/>
      <c r="G11" s="26"/>
      <c r="H11" s="27"/>
      <c r="I11" s="3"/>
      <c r="J11" s="9"/>
    </row>
    <row r="12" spans="2:10" x14ac:dyDescent="0.2">
      <c r="B12" s="7"/>
      <c r="C12" s="3"/>
      <c r="D12" s="34" t="s">
        <v>3</v>
      </c>
      <c r="E12" s="38" t="s">
        <v>4</v>
      </c>
      <c r="F12" s="88" t="s">
        <v>5</v>
      </c>
      <c r="G12" s="15" t="s">
        <v>6</v>
      </c>
      <c r="H12" s="28"/>
      <c r="I12" s="3"/>
      <c r="J12" s="9"/>
    </row>
    <row r="13" spans="2:10" ht="13.5" thickBot="1" x14ac:dyDescent="0.25">
      <c r="B13" s="7"/>
      <c r="C13" s="3"/>
      <c r="D13" s="34" t="s">
        <v>7</v>
      </c>
      <c r="E13" s="39" t="s">
        <v>8</v>
      </c>
      <c r="F13" s="88" t="s">
        <v>9</v>
      </c>
      <c r="G13" s="16"/>
      <c r="H13" s="28"/>
      <c r="I13" s="3"/>
      <c r="J13" s="9"/>
    </row>
    <row r="14" spans="2:10" x14ac:dyDescent="0.2">
      <c r="B14" s="7"/>
      <c r="C14" s="3"/>
      <c r="D14" s="34" t="s">
        <v>10</v>
      </c>
      <c r="E14" s="39" t="s">
        <v>11</v>
      </c>
      <c r="F14" s="29"/>
      <c r="G14" s="19"/>
      <c r="H14" s="28"/>
      <c r="I14" s="3"/>
      <c r="J14" s="9"/>
    </row>
    <row r="15" spans="2:10" x14ac:dyDescent="0.2">
      <c r="B15" s="7"/>
      <c r="C15" s="3"/>
      <c r="D15" s="34" t="s">
        <v>12</v>
      </c>
      <c r="E15" s="37" t="s">
        <v>13</v>
      </c>
      <c r="F15" s="29"/>
      <c r="G15" s="19"/>
      <c r="H15" s="28"/>
      <c r="I15" s="3"/>
      <c r="J15" s="9"/>
    </row>
    <row r="16" spans="2:10" ht="13.5" thickBot="1" x14ac:dyDescent="0.25">
      <c r="B16" s="7"/>
      <c r="C16" s="3"/>
      <c r="D16" s="34" t="s">
        <v>14</v>
      </c>
      <c r="E16" s="16"/>
      <c r="F16" s="29"/>
      <c r="G16" s="19"/>
      <c r="H16" s="28"/>
      <c r="I16" s="3"/>
      <c r="J16" s="9"/>
    </row>
    <row r="17" spans="2:10" ht="6" customHeight="1" thickBot="1" x14ac:dyDescent="0.25">
      <c r="B17" s="7"/>
      <c r="C17" s="3"/>
      <c r="D17" s="30"/>
      <c r="E17" s="31"/>
      <c r="F17" s="31"/>
      <c r="G17" s="31"/>
      <c r="H17" s="32"/>
      <c r="I17" s="3"/>
      <c r="J17" s="9"/>
    </row>
    <row r="18" spans="2:10" ht="6" customHeight="1" x14ac:dyDescent="0.2">
      <c r="B18" s="7"/>
      <c r="C18" s="3"/>
      <c r="D18" s="3"/>
      <c r="E18" s="3"/>
      <c r="F18" s="3"/>
      <c r="G18" s="3"/>
      <c r="H18" s="3"/>
      <c r="I18" s="3"/>
      <c r="J18" s="9"/>
    </row>
    <row r="19" spans="2:10" ht="13.5" thickBot="1" x14ac:dyDescent="0.25">
      <c r="B19" s="7"/>
      <c r="C19" s="3"/>
      <c r="D19" s="23" t="s">
        <v>15</v>
      </c>
      <c r="E19" s="3"/>
      <c r="F19" s="3"/>
      <c r="G19" s="3"/>
      <c r="H19" s="3"/>
      <c r="I19" s="3"/>
      <c r="J19" s="9"/>
    </row>
    <row r="20" spans="2:10" ht="5.25" customHeight="1" x14ac:dyDescent="0.2">
      <c r="B20" s="7"/>
      <c r="C20" s="3"/>
      <c r="D20" s="33"/>
      <c r="E20" s="26"/>
      <c r="F20" s="26"/>
      <c r="G20" s="26"/>
      <c r="H20" s="27"/>
      <c r="I20" s="3"/>
      <c r="J20" s="9"/>
    </row>
    <row r="21" spans="2:10" ht="13.5" thickBot="1" x14ac:dyDescent="0.25">
      <c r="B21" s="7"/>
      <c r="C21" s="3"/>
      <c r="D21" s="42"/>
      <c r="E21" s="41"/>
      <c r="F21" s="35"/>
      <c r="G21" s="90" t="s">
        <v>16</v>
      </c>
      <c r="H21" s="28"/>
      <c r="I21" s="3"/>
      <c r="J21" s="9"/>
    </row>
    <row r="22" spans="2:10" x14ac:dyDescent="0.2">
      <c r="B22" s="7"/>
      <c r="C22" s="3"/>
      <c r="D22" s="34" t="s">
        <v>17</v>
      </c>
      <c r="E22" s="38" t="s">
        <v>18</v>
      </c>
      <c r="F22" s="35"/>
      <c r="G22" s="38" t="s">
        <v>19</v>
      </c>
      <c r="H22" s="28"/>
      <c r="I22" s="3"/>
      <c r="J22" s="9"/>
    </row>
    <row r="23" spans="2:10" ht="13.5" thickBot="1" x14ac:dyDescent="0.25">
      <c r="B23" s="7"/>
      <c r="C23" s="3"/>
      <c r="D23" s="36" t="s">
        <v>20</v>
      </c>
      <c r="E23" s="78">
        <v>0.25</v>
      </c>
      <c r="F23" s="35"/>
      <c r="G23" s="95" t="s">
        <v>21</v>
      </c>
      <c r="H23" s="28"/>
      <c r="I23" s="3"/>
      <c r="J23" s="9"/>
    </row>
    <row r="24" spans="2:10" x14ac:dyDescent="0.2">
      <c r="B24" s="7"/>
      <c r="C24" s="3"/>
      <c r="D24" s="44" t="b">
        <v>1</v>
      </c>
      <c r="E24" s="41" t="s">
        <v>22</v>
      </c>
      <c r="F24" s="35"/>
      <c r="G24" s="95"/>
      <c r="H24" s="28"/>
      <c r="I24" s="3"/>
      <c r="J24" s="9"/>
    </row>
    <row r="25" spans="2:10" ht="13.5" thickBot="1" x14ac:dyDescent="0.25">
      <c r="B25" s="7"/>
      <c r="C25" s="3"/>
      <c r="D25" s="42"/>
      <c r="E25" s="41"/>
      <c r="F25" s="35"/>
      <c r="G25" s="40"/>
      <c r="H25" s="28"/>
      <c r="I25" s="3"/>
      <c r="J25" s="9"/>
    </row>
    <row r="26" spans="2:10" ht="13.5" thickBot="1" x14ac:dyDescent="0.25">
      <c r="B26" s="7"/>
      <c r="C26" s="3"/>
      <c r="D26" s="36" t="s">
        <v>23</v>
      </c>
      <c r="E26" s="15"/>
      <c r="F26" s="35"/>
      <c r="G26" s="35"/>
      <c r="H26" s="28"/>
      <c r="I26" s="3"/>
      <c r="J26" s="9"/>
    </row>
    <row r="27" spans="2:10" ht="13.5" thickBot="1" x14ac:dyDescent="0.25">
      <c r="B27" s="7"/>
      <c r="C27" s="3"/>
      <c r="D27" s="36" t="s">
        <v>20</v>
      </c>
      <c r="E27" s="79"/>
      <c r="F27" s="36" t="s">
        <v>24</v>
      </c>
      <c r="G27" s="94"/>
      <c r="H27" s="28"/>
      <c r="I27" s="3"/>
      <c r="J27" s="9"/>
    </row>
    <row r="28" spans="2:10" x14ac:dyDescent="0.2">
      <c r="B28" s="7"/>
      <c r="C28" s="3"/>
      <c r="D28" s="44" t="b">
        <v>0</v>
      </c>
      <c r="E28" s="41" t="s">
        <v>25</v>
      </c>
      <c r="F28" s="35"/>
      <c r="G28" s="35"/>
      <c r="H28" s="28"/>
      <c r="I28" s="3"/>
      <c r="J28" s="9"/>
    </row>
    <row r="29" spans="2:10" ht="13.5" thickBot="1" x14ac:dyDescent="0.25">
      <c r="B29" s="7"/>
      <c r="C29" s="3"/>
      <c r="D29" s="44"/>
      <c r="E29" s="41"/>
      <c r="F29" s="35"/>
      <c r="G29" s="35"/>
      <c r="H29" s="28"/>
      <c r="I29" s="3"/>
      <c r="J29" s="9"/>
    </row>
    <row r="30" spans="2:10" ht="13.5" thickBot="1" x14ac:dyDescent="0.25">
      <c r="B30" s="7"/>
      <c r="C30" s="3"/>
      <c r="D30" s="44"/>
      <c r="E30" s="41" t="s">
        <v>26</v>
      </c>
      <c r="F30" s="29" t="s">
        <v>27</v>
      </c>
      <c r="G30" s="70" t="s">
        <v>28</v>
      </c>
      <c r="H30" s="28"/>
      <c r="I30" s="3"/>
      <c r="J30" s="9"/>
    </row>
    <row r="31" spans="2:10" ht="13.5" thickBot="1" x14ac:dyDescent="0.25">
      <c r="B31" s="7"/>
      <c r="C31" s="3"/>
      <c r="D31" s="44"/>
      <c r="E31" s="41"/>
      <c r="F31" s="29"/>
      <c r="G31" s="41"/>
      <c r="H31" s="28"/>
      <c r="I31" s="3"/>
      <c r="J31" s="9"/>
    </row>
    <row r="32" spans="2:10" ht="13.5" thickBot="1" x14ac:dyDescent="0.25">
      <c r="B32" s="7"/>
      <c r="C32" s="3"/>
      <c r="D32" s="44"/>
      <c r="E32" s="89" t="s">
        <v>29</v>
      </c>
      <c r="F32" s="84" t="str">
        <f>LOWER(TemplateInformation!B3)</f>
        <v>c:\msoffice\excel\makrobib\fakturdb.xls</v>
      </c>
      <c r="G32" s="85"/>
      <c r="H32" s="28"/>
      <c r="I32" s="3"/>
      <c r="J32" s="9"/>
    </row>
    <row r="33" spans="2:10" ht="13.5" thickBot="1" x14ac:dyDescent="0.25">
      <c r="B33" s="7"/>
      <c r="C33" s="3"/>
      <c r="D33" s="30"/>
      <c r="E33" s="31"/>
      <c r="F33" s="31"/>
      <c r="G33" s="31"/>
      <c r="H33" s="32"/>
      <c r="I33" s="3"/>
      <c r="J33" s="9"/>
    </row>
    <row r="34" spans="2:10" ht="6" customHeight="1" x14ac:dyDescent="0.2">
      <c r="B34" s="7"/>
      <c r="C34" s="3"/>
      <c r="D34" s="3"/>
      <c r="E34" s="3"/>
      <c r="F34" s="3"/>
      <c r="G34" s="3"/>
      <c r="H34" s="3"/>
      <c r="I34" s="3"/>
      <c r="J34" s="9"/>
    </row>
    <row r="35" spans="2:10" ht="13.5" thickBot="1" x14ac:dyDescent="0.25">
      <c r="B35" s="7"/>
      <c r="C35" s="3"/>
      <c r="D35" s="23" t="s">
        <v>30</v>
      </c>
      <c r="E35" s="3"/>
      <c r="F35" s="3"/>
      <c r="G35" s="3"/>
      <c r="H35" s="3"/>
      <c r="I35" s="3"/>
      <c r="J35" s="9"/>
    </row>
    <row r="36" spans="2:10" ht="14.25" x14ac:dyDescent="0.2">
      <c r="B36" s="7"/>
      <c r="C36" s="3"/>
      <c r="D36" s="25"/>
      <c r="E36" s="26"/>
      <c r="F36" s="26"/>
      <c r="G36" s="26"/>
      <c r="H36" s="27"/>
      <c r="I36" s="3"/>
      <c r="J36" s="9"/>
    </row>
    <row r="37" spans="2:10" ht="14.25" x14ac:dyDescent="0.2">
      <c r="B37" s="7"/>
      <c r="C37" s="3"/>
      <c r="D37" s="45"/>
      <c r="E37" s="46"/>
      <c r="F37" s="46"/>
      <c r="G37" s="46"/>
      <c r="H37" s="47"/>
      <c r="I37" s="67"/>
      <c r="J37" s="24"/>
    </row>
    <row r="38" spans="2:10" ht="14.25" x14ac:dyDescent="0.2">
      <c r="B38" s="7"/>
      <c r="C38" s="3"/>
      <c r="D38" s="45"/>
      <c r="E38" s="46"/>
      <c r="F38" s="48"/>
      <c r="G38" s="46"/>
      <c r="H38" s="47"/>
      <c r="I38" s="67"/>
      <c r="J38" s="24"/>
    </row>
    <row r="39" spans="2:10" ht="20.25" customHeight="1" x14ac:dyDescent="0.2">
      <c r="B39" s="7"/>
      <c r="C39" s="3"/>
      <c r="D39" s="45"/>
      <c r="E39" s="46"/>
      <c r="F39" s="46"/>
      <c r="G39" s="46"/>
      <c r="H39" s="47"/>
      <c r="I39" s="67"/>
      <c r="J39" s="24"/>
    </row>
    <row r="40" spans="2:10" ht="14.25" x14ac:dyDescent="0.2">
      <c r="B40" s="7"/>
      <c r="C40" s="3"/>
      <c r="D40" s="45"/>
      <c r="E40" s="46"/>
      <c r="F40" s="46"/>
      <c r="G40" s="46"/>
      <c r="H40" s="47"/>
      <c r="I40" s="67"/>
      <c r="J40" s="24"/>
    </row>
    <row r="41" spans="2:10" ht="14.25" x14ac:dyDescent="0.2">
      <c r="B41" s="7"/>
      <c r="C41" s="3"/>
      <c r="D41" s="45"/>
      <c r="E41" s="46"/>
      <c r="F41" s="46"/>
      <c r="G41" s="46"/>
      <c r="H41" s="47"/>
      <c r="I41" s="67"/>
      <c r="J41" s="24"/>
    </row>
    <row r="42" spans="2:10" ht="14.25" x14ac:dyDescent="0.2">
      <c r="B42" s="7"/>
      <c r="C42" s="3"/>
      <c r="D42" s="45"/>
      <c r="E42" s="46"/>
      <c r="F42" s="46"/>
      <c r="G42" s="46"/>
      <c r="H42" s="47"/>
      <c r="I42" s="67"/>
      <c r="J42" s="24"/>
    </row>
    <row r="43" spans="2:10" ht="26.25" customHeight="1" thickBot="1" x14ac:dyDescent="0.25">
      <c r="B43" s="7"/>
      <c r="C43" s="3"/>
      <c r="D43" s="49"/>
      <c r="E43" s="50"/>
      <c r="F43" s="50"/>
      <c r="G43" s="50"/>
      <c r="H43" s="51"/>
      <c r="I43" s="67"/>
      <c r="J43" s="24"/>
    </row>
    <row r="44" spans="2:10" x14ac:dyDescent="0.2">
      <c r="B44" s="7"/>
      <c r="C44" s="3"/>
      <c r="D44" s="3"/>
      <c r="E44" s="3"/>
      <c r="F44" s="3"/>
      <c r="G44" s="3"/>
      <c r="H44" s="3"/>
      <c r="I44" s="3"/>
      <c r="J44" s="9"/>
    </row>
    <row r="45" spans="2:10" ht="0.95" customHeight="1" thickBot="1" x14ac:dyDescent="0.25">
      <c r="B45" s="10"/>
      <c r="C45" s="11"/>
      <c r="D45" s="11"/>
      <c r="E45" s="11"/>
      <c r="F45" s="11"/>
      <c r="G45" s="11"/>
      <c r="H45" s="11"/>
      <c r="I45" s="11"/>
      <c r="J45" s="12"/>
    </row>
    <row r="46" spans="2:10" ht="13.5" thickTop="1" x14ac:dyDescent="0.2"/>
    <row r="47" spans="2:10" x14ac:dyDescent="0.2">
      <c r="E47" s="80">
        <v>46</v>
      </c>
    </row>
    <row r="48" spans="2:10" x14ac:dyDescent="0.2">
      <c r="E48" s="80">
        <v>0</v>
      </c>
    </row>
    <row r="49" spans="5:5" x14ac:dyDescent="0.2">
      <c r="E49" s="80" t="b">
        <v>0</v>
      </c>
    </row>
    <row r="50" spans="5:5" x14ac:dyDescent="0.2">
      <c r="E50" s="80"/>
    </row>
    <row r="51" spans="5:5" x14ac:dyDescent="0.2">
      <c r="E51" s="80" t="s">
        <v>31</v>
      </c>
    </row>
  </sheetData>
  <customSheetViews>
    <customSheetView guid="{58F2F22E-C36E-4B61-A2F0-87B8DAF04981}" scale="95" showGridLines="0" showRowCol="0" fitToPage="1" state="hidden" showRuler="0" topLeftCell="A3">
      <selection activeCell="F15" sqref="F15"/>
      <pageMargins left="0.5" right="0.5" top="0.5" bottom="0.5" header="0.5" footer="0.5"/>
      <printOptions horizontalCentered="1"/>
      <pageSetup paperSize="9" orientation="portrait" blackAndWhite="1" horizontalDpi="300" verticalDpi="300" r:id="rId1"/>
      <headerFooter alignWithMargins="0"/>
    </customSheetView>
  </customSheetViews>
  <phoneticPr fontId="18" type="noConversion"/>
  <printOptions horizontalCentered="1"/>
  <pageMargins left="0.5" right="0.5" top="0.5" bottom="0.5" header="0.5" footer="0.5"/>
  <pageSetup paperSize="9" orientation="portrait" blackAndWhite="1"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8" r:id="rId5" name="Lock">
              <controlPr defaultSize="0" print="0" autoFill="0" autoLine="0" autoPict="0" macro="[0]!LockSheet">
                <anchor moveWithCells="1" sizeWithCells="1">
                  <from>
                    <xdr:col>4</xdr:col>
                    <xdr:colOff>304800</xdr:colOff>
                    <xdr:row>6</xdr:row>
                    <xdr:rowOff>76200</xdr:rowOff>
                  </from>
                  <to>
                    <xdr:col>4</xdr:col>
                    <xdr:colOff>1743075</xdr:colOff>
                    <xdr:row>8</xdr:row>
                    <xdr:rowOff>66675</xdr:rowOff>
                  </to>
                </anchor>
              </controlPr>
            </control>
          </mc:Choice>
        </mc:AlternateContent>
        <mc:AlternateContent xmlns:mc="http://schemas.openxmlformats.org/markup-compatibility/2006">
          <mc:Choice Requires="x14">
            <control shapeId="1031" r:id="rId6" name="LGBUT">
              <controlPr defaultSize="0" print="0" autoFill="0" autoLine="0" autoPict="0" macro="[0]!InsertLogo">
                <anchor moveWithCells="1" sizeWithCells="1">
                  <from>
                    <xdr:col>3</xdr:col>
                    <xdr:colOff>571500</xdr:colOff>
                    <xdr:row>41</xdr:row>
                    <xdr:rowOff>123825</xdr:rowOff>
                  </from>
                  <to>
                    <xdr:col>4</xdr:col>
                    <xdr:colOff>561975</xdr:colOff>
                    <xdr:row>42</xdr:row>
                    <xdr:rowOff>219075</xdr:rowOff>
                  </to>
                </anchor>
              </controlPr>
            </control>
          </mc:Choice>
        </mc:AlternateContent>
        <mc:AlternateContent xmlns:mc="http://schemas.openxmlformats.org/markup-compatibility/2006">
          <mc:Choice Requires="x14">
            <control shapeId="1032" r:id="rId7" name="LTBUT">
              <controlPr defaultSize="0" print="0" autoFill="0" autoLine="0" autoPict="0" macro="[0]!ChangeFont">
                <anchor moveWithCells="1" sizeWithCells="1">
                  <from>
                    <xdr:col>4</xdr:col>
                    <xdr:colOff>1933575</xdr:colOff>
                    <xdr:row>41</xdr:row>
                    <xdr:rowOff>123825</xdr:rowOff>
                  </from>
                  <to>
                    <xdr:col>6</xdr:col>
                    <xdr:colOff>390525</xdr:colOff>
                    <xdr:row>42</xdr:row>
                    <xdr:rowOff>219075</xdr:rowOff>
                  </to>
                </anchor>
              </controlPr>
            </control>
          </mc:Choice>
        </mc:AlternateContent>
        <mc:AlternateContent xmlns:mc="http://schemas.openxmlformats.org/markup-compatibility/2006">
          <mc:Choice Requires="x14">
            <control shapeId="1045" r:id="rId8" name="TX1">
              <controlPr defaultSize="0" autoFill="0" autoLine="0" autoPict="0">
                <anchor moveWithCells="1">
                  <from>
                    <xdr:col>3</xdr:col>
                    <xdr:colOff>828675</xdr:colOff>
                    <xdr:row>22</xdr:row>
                    <xdr:rowOff>142875</xdr:rowOff>
                  </from>
                  <to>
                    <xdr:col>3</xdr:col>
                    <xdr:colOff>1123950</xdr:colOff>
                    <xdr:row>24</xdr:row>
                    <xdr:rowOff>19050</xdr:rowOff>
                  </to>
                </anchor>
              </controlPr>
            </control>
          </mc:Choice>
        </mc:AlternateContent>
        <mc:AlternateContent xmlns:mc="http://schemas.openxmlformats.org/markup-compatibility/2006">
          <mc:Choice Requires="x14">
            <control shapeId="1046" r:id="rId9" name="TX2">
              <controlPr defaultSize="0" autoFill="0" autoLine="0" autoPict="0">
                <anchor moveWithCells="1">
                  <from>
                    <xdr:col>3</xdr:col>
                    <xdr:colOff>828675</xdr:colOff>
                    <xdr:row>26</xdr:row>
                    <xdr:rowOff>142875</xdr:rowOff>
                  </from>
                  <to>
                    <xdr:col>3</xdr:col>
                    <xdr:colOff>1123950</xdr:colOff>
                    <xdr:row>28</xdr:row>
                    <xdr:rowOff>19050</xdr:rowOff>
                  </to>
                </anchor>
              </controlPr>
            </control>
          </mc:Choice>
        </mc:AlternateContent>
        <mc:AlternateContent xmlns:mc="http://schemas.openxmlformats.org/markup-compatibility/2006">
          <mc:Choice Requires="x14">
            <control shapeId="1048" r:id="rId10" name="SHR">
              <controlPr defaultSize="0" autoFill="0" autoLine="0" autoPict="0">
                <anchor moveWithCells="1">
                  <from>
                    <xdr:col>3</xdr:col>
                    <xdr:colOff>828675</xdr:colOff>
                    <xdr:row>28</xdr:row>
                    <xdr:rowOff>142875</xdr:rowOff>
                  </from>
                  <to>
                    <xdr:col>3</xdr:col>
                    <xdr:colOff>1123950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zoomScale="95" workbookViewId="0">
      <selection activeCell="E6" sqref="E6"/>
    </sheetView>
  </sheetViews>
  <sheetFormatPr defaultRowHeight="12.75" x14ac:dyDescent="0.2"/>
  <sheetData/>
  <customSheetViews>
    <customSheetView guid="{58F2F22E-C36E-4B61-A2F0-87B8DAF04981}" showRuler="0">
      <selection activeCell="E6" sqref="E6"/>
      <pageMargins left="0.75" right="0.75" top="1" bottom="1" header="0.5" footer="0.5"/>
      <headerFooter alignWithMargins="0"/>
    </customSheetView>
  </customSheetViews>
  <phoneticPr fontId="18"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B1:S56"/>
  <sheetViews>
    <sheetView showGridLines="0" showRowColHeaders="0" tabSelected="1" zoomScale="95" workbookViewId="0">
      <selection activeCell="Q12" sqref="Q12"/>
    </sheetView>
  </sheetViews>
  <sheetFormatPr defaultRowHeight="12.75" x14ac:dyDescent="0.2"/>
  <cols>
    <col min="1" max="1" width="1.28515625" customWidth="1"/>
    <col min="2" max="3" width="0.42578125" customWidth="1"/>
    <col min="4" max="7" width="3.7109375" customWidth="1"/>
    <col min="8" max="8" width="10.7109375" bestFit="1" customWidth="1"/>
    <col min="9" max="9" width="8.7109375" customWidth="1"/>
    <col min="11" max="11" width="15.85546875" customWidth="1"/>
    <col min="12" max="12" width="6.28515625" customWidth="1"/>
    <col min="13" max="13" width="6.7109375" customWidth="1"/>
    <col min="14" max="15" width="3.28515625" customWidth="1"/>
    <col min="16" max="16" width="12.7109375" customWidth="1"/>
    <col min="17" max="17" width="15.7109375" customWidth="1"/>
    <col min="18" max="18" width="3.7109375" customWidth="1"/>
    <col min="19" max="19" width="0.42578125" customWidth="1"/>
    <col min="20" max="20" width="1.7109375" customWidth="1"/>
  </cols>
  <sheetData>
    <row r="1" spans="2:19" ht="6" customHeight="1" thickBot="1" x14ac:dyDescent="0.25">
      <c r="E1" s="3"/>
      <c r="F1" s="3"/>
      <c r="G1" s="3"/>
      <c r="H1" s="3"/>
      <c r="I1" s="3"/>
      <c r="J1" s="3"/>
      <c r="K1" s="3"/>
      <c r="L1" s="3"/>
    </row>
    <row r="2" spans="2:19" ht="0.95" customHeight="1" thickTop="1" x14ac:dyDescent="0.2">
      <c r="B2" s="4"/>
      <c r="C2" s="5"/>
      <c r="D2" s="5"/>
      <c r="E2" s="5"/>
      <c r="F2" s="5"/>
      <c r="G2" s="5"/>
      <c r="H2" s="5"/>
      <c r="I2" s="3"/>
      <c r="J2" s="3"/>
      <c r="K2" s="3"/>
      <c r="L2" s="5"/>
      <c r="M2" s="5"/>
      <c r="N2" s="5"/>
      <c r="O2" s="5"/>
      <c r="P2" s="5"/>
      <c r="Q2" s="5"/>
      <c r="R2" s="5"/>
      <c r="S2" s="6"/>
    </row>
    <row r="3" spans="2:19" x14ac:dyDescent="0.2">
      <c r="B3" s="7"/>
      <c r="C3" s="3"/>
      <c r="L3" s="3"/>
      <c r="M3" s="3"/>
      <c r="N3" s="3"/>
      <c r="O3" s="3"/>
      <c r="P3" s="3"/>
      <c r="Q3" s="3"/>
      <c r="R3" s="3"/>
      <c r="S3" s="9"/>
    </row>
    <row r="4" spans="2:19" x14ac:dyDescent="0.2">
      <c r="B4" s="7"/>
      <c r="C4" s="3"/>
      <c r="D4" s="3"/>
      <c r="E4" s="3"/>
      <c r="F4" s="3"/>
      <c r="G4" s="3"/>
      <c r="H4" s="3"/>
      <c r="I4" s="3"/>
      <c r="J4" s="3"/>
      <c r="K4" s="3"/>
      <c r="L4" s="3"/>
      <c r="M4" s="3"/>
      <c r="N4" s="8"/>
      <c r="O4" s="8"/>
      <c r="P4" s="120" t="s">
        <v>72</v>
      </c>
      <c r="Q4" s="17" t="s">
        <v>80</v>
      </c>
      <c r="R4" s="17"/>
      <c r="S4" s="9"/>
    </row>
    <row r="5" spans="2:19" ht="12.75" customHeight="1" x14ac:dyDescent="0.2">
      <c r="B5" s="7"/>
      <c r="C5" s="3"/>
      <c r="D5" s="3"/>
      <c r="E5" s="3"/>
      <c r="F5" s="3"/>
      <c r="G5" s="3"/>
      <c r="H5" s="3"/>
      <c r="I5" s="3"/>
      <c r="J5" s="3"/>
      <c r="K5" s="3"/>
      <c r="L5" s="3"/>
      <c r="M5" s="3"/>
      <c r="N5" s="3"/>
      <c r="O5" s="3"/>
      <c r="P5" s="3"/>
      <c r="Q5" s="3"/>
      <c r="R5" s="3"/>
      <c r="S5" s="9"/>
    </row>
    <row r="6" spans="2:19" ht="13.5" thickBot="1" x14ac:dyDescent="0.25">
      <c r="B6" s="7"/>
      <c r="C6" s="3"/>
      <c r="D6" s="3"/>
      <c r="E6" s="3"/>
      <c r="F6" s="3"/>
      <c r="G6" s="3"/>
      <c r="H6" s="3"/>
      <c r="I6" s="3" t="s">
        <v>73</v>
      </c>
      <c r="J6" s="3"/>
      <c r="K6" s="3"/>
      <c r="L6" s="3"/>
      <c r="M6" s="3"/>
      <c r="N6" s="3"/>
      <c r="O6" s="3"/>
      <c r="P6" s="3"/>
      <c r="Q6" s="3"/>
      <c r="R6" s="3"/>
      <c r="S6" s="9"/>
    </row>
    <row r="7" spans="2:19" ht="25.5" customHeight="1" thickTop="1" x14ac:dyDescent="0.2">
      <c r="B7" s="7"/>
      <c r="C7" s="3"/>
      <c r="D7" s="3"/>
      <c r="E7" s="3"/>
      <c r="F7" s="3"/>
      <c r="G7" s="3"/>
      <c r="H7" s="3"/>
      <c r="I7" s="65"/>
      <c r="J7" s="65"/>
      <c r="K7" s="65"/>
      <c r="L7" s="3"/>
      <c r="M7" s="3"/>
      <c r="N7" s="3"/>
      <c r="O7" s="3"/>
      <c r="P7" s="3"/>
      <c r="Q7" s="3"/>
      <c r="R7" s="3"/>
      <c r="S7" s="9"/>
    </row>
    <row r="8" spans="2:19" ht="13.5" thickBot="1" x14ac:dyDescent="0.25">
      <c r="B8" s="7"/>
      <c r="C8" s="3"/>
      <c r="D8" s="3"/>
      <c r="E8" s="3"/>
      <c r="F8" s="3"/>
      <c r="G8" s="3"/>
      <c r="H8" s="3"/>
      <c r="I8" s="3"/>
      <c r="J8" s="3"/>
      <c r="K8" s="3"/>
      <c r="L8" s="3"/>
      <c r="M8" s="3"/>
      <c r="N8" s="3"/>
      <c r="O8" s="3"/>
      <c r="P8" s="3"/>
      <c r="Q8" s="3"/>
      <c r="R8" s="3"/>
      <c r="S8" s="9"/>
    </row>
    <row r="9" spans="2:19" ht="3" customHeight="1" thickTop="1" x14ac:dyDescent="0.3">
      <c r="B9" s="7"/>
      <c r="C9" s="3"/>
      <c r="D9" s="3"/>
      <c r="E9" s="3"/>
      <c r="F9" s="3"/>
      <c r="G9" s="3"/>
      <c r="H9" s="65"/>
      <c r="I9" s="65"/>
      <c r="J9" s="65"/>
      <c r="K9" s="65"/>
      <c r="L9" s="65"/>
      <c r="M9" s="66"/>
      <c r="N9" s="66"/>
      <c r="O9" s="66"/>
      <c r="P9" s="65"/>
      <c r="Q9" s="66"/>
      <c r="R9" s="21"/>
      <c r="S9" s="9"/>
    </row>
    <row r="10" spans="2:19" ht="14.1" customHeight="1" x14ac:dyDescent="0.2">
      <c r="B10" s="7"/>
      <c r="C10" s="3"/>
      <c r="D10" s="3"/>
      <c r="E10" s="3"/>
      <c r="F10" s="3"/>
      <c r="G10" s="3"/>
      <c r="H10" s="3"/>
      <c r="I10" s="121"/>
      <c r="J10" s="3"/>
      <c r="K10" s="3"/>
      <c r="L10" s="3"/>
      <c r="M10" s="3"/>
      <c r="N10" s="3"/>
      <c r="O10" s="3"/>
      <c r="P10" s="3"/>
      <c r="Q10" s="3"/>
      <c r="R10" s="3"/>
      <c r="S10" s="9"/>
    </row>
    <row r="11" spans="2:19" x14ac:dyDescent="0.2">
      <c r="B11" s="7"/>
      <c r="C11" s="3"/>
      <c r="D11" s="3"/>
      <c r="E11" s="3"/>
      <c r="F11" s="3"/>
      <c r="G11" s="3"/>
      <c r="H11" s="3"/>
      <c r="I11" s="3"/>
      <c r="J11" s="3"/>
      <c r="K11" s="3"/>
      <c r="L11" s="3"/>
      <c r="M11" s="3"/>
      <c r="N11" s="3"/>
      <c r="O11" s="3"/>
      <c r="P11" s="3"/>
      <c r="Q11" s="3"/>
      <c r="R11" s="3"/>
      <c r="S11" s="9"/>
    </row>
    <row r="12" spans="2:19" ht="15" x14ac:dyDescent="0.2">
      <c r="B12" s="7"/>
      <c r="C12" s="3"/>
      <c r="D12" s="3"/>
      <c r="E12" s="3"/>
      <c r="F12" s="3"/>
      <c r="G12" s="3"/>
      <c r="H12" s="119" t="s">
        <v>43</v>
      </c>
      <c r="I12" s="129" t="s">
        <v>78</v>
      </c>
      <c r="J12" s="130"/>
      <c r="K12" s="130" t="s">
        <v>79</v>
      </c>
      <c r="L12" s="114"/>
      <c r="M12" s="114"/>
      <c r="N12" s="3"/>
      <c r="O12" s="3"/>
      <c r="P12" s="117"/>
      <c r="Q12" s="136">
        <v>42432</v>
      </c>
      <c r="R12" s="58"/>
      <c r="S12" s="9"/>
    </row>
    <row r="13" spans="2:19" ht="15" x14ac:dyDescent="0.2">
      <c r="B13" s="7"/>
      <c r="C13" s="3"/>
      <c r="D13" s="3"/>
      <c r="E13" s="3"/>
      <c r="F13" s="3"/>
      <c r="G13" s="3"/>
      <c r="H13" s="61"/>
      <c r="I13" s="114" t="s">
        <v>43</v>
      </c>
      <c r="J13" s="114"/>
      <c r="K13" s="126"/>
      <c r="L13" s="114"/>
      <c r="M13" s="114"/>
      <c r="N13" s="3"/>
      <c r="O13" s="3"/>
      <c r="P13" s="61" t="s">
        <v>34</v>
      </c>
      <c r="Q13" s="69"/>
      <c r="R13" s="59"/>
      <c r="S13" s="9"/>
    </row>
    <row r="14" spans="2:19" ht="15" x14ac:dyDescent="0.2">
      <c r="B14" s="7"/>
      <c r="C14" s="3"/>
      <c r="D14" s="3"/>
      <c r="E14" s="3"/>
      <c r="F14" s="3"/>
      <c r="G14" s="3"/>
      <c r="H14" s="61"/>
      <c r="I14" s="115" t="s">
        <v>43</v>
      </c>
      <c r="J14" s="116"/>
      <c r="K14" s="114"/>
      <c r="L14" s="116"/>
      <c r="M14" s="114" t="s">
        <v>43</v>
      </c>
      <c r="N14" s="3"/>
      <c r="O14" s="3"/>
      <c r="P14" s="61" t="s">
        <v>36</v>
      </c>
      <c r="Q14" s="132" t="s">
        <v>77</v>
      </c>
      <c r="R14" s="3"/>
      <c r="S14" s="9"/>
    </row>
    <row r="15" spans="2:19" ht="15" x14ac:dyDescent="0.2">
      <c r="B15" s="7"/>
      <c r="C15" s="3"/>
      <c r="D15" s="3"/>
      <c r="E15" s="3"/>
      <c r="F15" s="3"/>
      <c r="G15" s="3"/>
      <c r="H15" s="61"/>
      <c r="I15" s="115" t="s">
        <v>43</v>
      </c>
      <c r="J15" s="116"/>
      <c r="K15" s="114"/>
      <c r="L15" s="116"/>
      <c r="M15" s="114"/>
      <c r="N15" s="3"/>
      <c r="O15" s="3"/>
      <c r="P15" s="61"/>
      <c r="Q15" s="57"/>
      <c r="R15" s="3"/>
      <c r="S15" s="9"/>
    </row>
    <row r="16" spans="2:19" ht="15" x14ac:dyDescent="0.2">
      <c r="B16" s="7"/>
      <c r="C16" s="3"/>
      <c r="D16" s="3"/>
      <c r="E16" s="3"/>
      <c r="F16" s="3"/>
      <c r="G16" s="3"/>
      <c r="H16" s="61" t="s">
        <v>43</v>
      </c>
      <c r="I16" s="114" t="s">
        <v>43</v>
      </c>
      <c r="J16" s="114"/>
      <c r="K16" s="114"/>
      <c r="L16" s="114"/>
      <c r="M16" s="114"/>
      <c r="N16" s="3"/>
      <c r="O16" s="3"/>
      <c r="P16" s="61" t="s">
        <v>38</v>
      </c>
      <c r="Q16" s="57"/>
      <c r="R16" s="3"/>
      <c r="S16" s="9"/>
    </row>
    <row r="17" spans="2:19" x14ac:dyDescent="0.2">
      <c r="B17" s="7"/>
      <c r="C17" s="3"/>
      <c r="D17" s="3"/>
      <c r="E17" s="3"/>
      <c r="F17" s="3"/>
      <c r="G17" s="3"/>
      <c r="H17" s="3"/>
      <c r="I17" s="3"/>
      <c r="J17" s="3"/>
      <c r="K17" s="3"/>
      <c r="L17" s="3"/>
      <c r="M17" s="3"/>
      <c r="N17" s="3"/>
      <c r="O17" s="3"/>
      <c r="P17" s="3"/>
      <c r="Q17" s="3"/>
      <c r="R17" s="3"/>
      <c r="S17" s="9"/>
    </row>
    <row r="18" spans="2:19" x14ac:dyDescent="0.2">
      <c r="B18" s="7"/>
      <c r="C18" s="3"/>
      <c r="D18" s="3"/>
      <c r="E18" s="3"/>
      <c r="F18" s="3"/>
      <c r="G18" s="3"/>
      <c r="H18" s="3"/>
      <c r="I18" s="3"/>
      <c r="J18" s="3"/>
      <c r="K18" s="3"/>
      <c r="L18" s="3"/>
      <c r="M18" s="3"/>
      <c r="N18" s="3"/>
      <c r="O18" s="3"/>
      <c r="P18" s="3"/>
      <c r="Q18" s="3"/>
      <c r="R18" s="3"/>
      <c r="S18" s="9"/>
    </row>
    <row r="19" spans="2:19" x14ac:dyDescent="0.2">
      <c r="B19" s="7"/>
      <c r="C19" s="3"/>
      <c r="D19" s="3"/>
      <c r="E19" s="3"/>
      <c r="F19" s="3"/>
      <c r="G19" s="3"/>
      <c r="H19" s="96" t="s">
        <v>71</v>
      </c>
      <c r="I19" s="81" t="s">
        <v>39</v>
      </c>
      <c r="J19" s="53"/>
      <c r="K19" s="53"/>
      <c r="L19" s="53"/>
      <c r="M19" s="53"/>
      <c r="N19" s="54"/>
      <c r="O19" s="53"/>
      <c r="P19" s="52" t="s">
        <v>40</v>
      </c>
      <c r="Q19" s="55" t="s">
        <v>41</v>
      </c>
      <c r="R19" s="60"/>
      <c r="S19" s="9"/>
    </row>
    <row r="20" spans="2:19" ht="15" x14ac:dyDescent="0.2">
      <c r="B20" s="7"/>
      <c r="C20" s="3"/>
      <c r="D20" s="3"/>
      <c r="E20" s="3"/>
      <c r="F20" s="3"/>
      <c r="G20" s="3"/>
      <c r="H20" s="111"/>
      <c r="I20" s="99" t="s">
        <v>76</v>
      </c>
      <c r="J20" s="100"/>
      <c r="K20" s="100"/>
      <c r="L20" s="100"/>
      <c r="M20" s="100"/>
      <c r="N20" s="71"/>
      <c r="O20" s="71"/>
      <c r="P20" s="108"/>
      <c r="Q20" s="104" t="s">
        <v>43</v>
      </c>
      <c r="R20" s="60"/>
      <c r="S20" s="9"/>
    </row>
    <row r="21" spans="2:19" ht="15" x14ac:dyDescent="0.2">
      <c r="B21" s="7"/>
      <c r="C21" s="3"/>
      <c r="D21" s="3"/>
      <c r="E21" s="3"/>
      <c r="F21" s="3"/>
      <c r="G21" s="3"/>
      <c r="H21" s="112"/>
      <c r="I21" s="98" t="s">
        <v>81</v>
      </c>
      <c r="J21" s="101"/>
      <c r="K21" s="101"/>
      <c r="L21" s="101"/>
      <c r="M21" s="101"/>
      <c r="N21" s="73"/>
      <c r="O21" s="73"/>
      <c r="P21" s="109"/>
      <c r="Q21" s="97">
        <v>1400</v>
      </c>
      <c r="R21" s="60"/>
      <c r="S21" s="9"/>
    </row>
    <row r="22" spans="2:19" ht="15.75" x14ac:dyDescent="0.25">
      <c r="B22" s="7"/>
      <c r="C22" s="3"/>
      <c r="D22" s="3"/>
      <c r="E22" s="3"/>
      <c r="F22" s="3"/>
      <c r="G22" s="3"/>
      <c r="H22" s="113"/>
      <c r="I22" s="133" t="s">
        <v>43</v>
      </c>
      <c r="J22" s="134"/>
      <c r="K22" s="131"/>
      <c r="L22" s="101"/>
      <c r="M22" s="101"/>
      <c r="N22" s="73"/>
      <c r="O22" s="73"/>
      <c r="P22" s="109"/>
      <c r="Q22" s="97"/>
      <c r="R22" s="60"/>
      <c r="S22" s="9"/>
    </row>
    <row r="23" spans="2:19" ht="15" x14ac:dyDescent="0.2">
      <c r="B23" s="7"/>
      <c r="C23" s="3"/>
      <c r="D23" s="3"/>
      <c r="E23" s="3"/>
      <c r="F23" s="3"/>
      <c r="G23" s="3"/>
      <c r="H23" s="113"/>
      <c r="I23" s="135" t="s">
        <v>43</v>
      </c>
      <c r="J23" s="101"/>
      <c r="K23" s="101"/>
      <c r="L23" s="101"/>
      <c r="M23" s="101"/>
      <c r="N23" s="73"/>
      <c r="O23" s="73"/>
      <c r="P23" s="109"/>
      <c r="Q23" s="128" t="s">
        <v>43</v>
      </c>
      <c r="R23" s="60"/>
      <c r="S23" s="9"/>
    </row>
    <row r="24" spans="2:19" ht="15" x14ac:dyDescent="0.2">
      <c r="B24" s="7"/>
      <c r="C24" s="3"/>
      <c r="D24" s="3"/>
      <c r="E24" s="3"/>
      <c r="F24" s="3"/>
      <c r="G24" s="3"/>
      <c r="H24" s="113"/>
      <c r="I24" s="129" t="s">
        <v>43</v>
      </c>
      <c r="J24" s="101"/>
      <c r="K24" s="101"/>
      <c r="L24" s="101"/>
      <c r="M24" s="101"/>
      <c r="N24" s="73"/>
      <c r="O24" s="73"/>
      <c r="P24" s="109"/>
      <c r="Q24" s="97" t="s">
        <v>43</v>
      </c>
      <c r="R24" s="60"/>
      <c r="S24" s="9"/>
    </row>
    <row r="25" spans="2:19" ht="15.75" x14ac:dyDescent="0.25">
      <c r="B25" s="7"/>
      <c r="C25" s="3"/>
      <c r="D25" s="3"/>
      <c r="E25" s="3"/>
      <c r="F25" s="3"/>
      <c r="G25" s="3"/>
      <c r="H25" s="113"/>
      <c r="I25" s="124" t="s">
        <v>43</v>
      </c>
      <c r="J25" s="101"/>
      <c r="K25" s="101"/>
      <c r="L25" s="121"/>
      <c r="M25" s="101"/>
      <c r="N25" s="73"/>
      <c r="O25" s="73"/>
      <c r="P25" s="109"/>
      <c r="Q25" s="97" t="str">
        <f t="shared" ref="Q25:Q35" si="0">IF(H25&lt;&gt;"",H25*P25,"")</f>
        <v/>
      </c>
      <c r="R25" s="60"/>
      <c r="S25" s="9"/>
    </row>
    <row r="26" spans="2:19" ht="15.75" x14ac:dyDescent="0.25">
      <c r="B26" s="7"/>
      <c r="C26" s="3"/>
      <c r="D26" s="3"/>
      <c r="E26" s="3"/>
      <c r="F26" s="3"/>
      <c r="G26" s="3"/>
      <c r="H26" s="113"/>
      <c r="I26" s="125" t="s">
        <v>43</v>
      </c>
      <c r="J26" s="101"/>
      <c r="K26" s="101"/>
      <c r="L26" s="101"/>
      <c r="M26" s="101"/>
      <c r="N26" s="73"/>
      <c r="O26" s="73"/>
      <c r="P26" s="109"/>
      <c r="Q26" s="97" t="str">
        <f t="shared" si="0"/>
        <v/>
      </c>
      <c r="R26" s="60"/>
      <c r="S26" s="9"/>
    </row>
    <row r="27" spans="2:19" ht="15" x14ac:dyDescent="0.2">
      <c r="B27" s="7"/>
      <c r="C27" s="3"/>
      <c r="D27" s="3"/>
      <c r="E27" s="3"/>
      <c r="F27" s="3"/>
      <c r="G27" s="3"/>
      <c r="H27" s="113"/>
      <c r="I27" s="98"/>
      <c r="J27" s="101"/>
      <c r="K27" s="101"/>
      <c r="L27" s="101"/>
      <c r="M27" s="101"/>
      <c r="N27" s="73"/>
      <c r="O27" s="73"/>
      <c r="P27" s="109"/>
      <c r="Q27" s="97" t="str">
        <f t="shared" si="0"/>
        <v/>
      </c>
      <c r="R27" s="60"/>
      <c r="S27" s="9"/>
    </row>
    <row r="28" spans="2:19" ht="15" x14ac:dyDescent="0.2">
      <c r="B28" s="7"/>
      <c r="C28" s="3"/>
      <c r="D28" s="3"/>
      <c r="E28" s="3"/>
      <c r="F28" s="3"/>
      <c r="G28" s="3"/>
      <c r="H28" s="113"/>
      <c r="I28" s="102"/>
      <c r="J28" s="101"/>
      <c r="K28" s="101"/>
      <c r="L28" s="101"/>
      <c r="M28" s="101"/>
      <c r="N28" s="73"/>
      <c r="O28" s="73"/>
      <c r="P28" s="109"/>
      <c r="Q28" s="97" t="str">
        <f t="shared" si="0"/>
        <v/>
      </c>
      <c r="R28" s="60"/>
      <c r="S28" s="9"/>
    </row>
    <row r="29" spans="2:19" ht="15" x14ac:dyDescent="0.2">
      <c r="B29" s="7"/>
      <c r="C29" s="3"/>
      <c r="D29" s="3"/>
      <c r="E29" s="3"/>
      <c r="F29" s="3"/>
      <c r="G29" s="3"/>
      <c r="H29" s="113"/>
      <c r="I29" s="102"/>
      <c r="J29" s="101"/>
      <c r="K29" s="101"/>
      <c r="L29" s="101"/>
      <c r="M29" s="101"/>
      <c r="N29" s="73"/>
      <c r="O29" s="73"/>
      <c r="P29" s="109"/>
      <c r="Q29" s="97" t="str">
        <f t="shared" si="0"/>
        <v/>
      </c>
      <c r="R29" s="60"/>
      <c r="S29" s="9"/>
    </row>
    <row r="30" spans="2:19" ht="15" x14ac:dyDescent="0.2">
      <c r="B30" s="7"/>
      <c r="C30" s="3"/>
      <c r="D30" s="3"/>
      <c r="E30" s="3"/>
      <c r="F30" s="3"/>
      <c r="G30" s="3"/>
      <c r="H30" s="113"/>
      <c r="I30" s="102"/>
      <c r="J30" s="101"/>
      <c r="K30" s="101"/>
      <c r="L30" s="101"/>
      <c r="M30" s="101"/>
      <c r="N30" s="73"/>
      <c r="O30" s="73"/>
      <c r="P30" s="109"/>
      <c r="Q30" s="97" t="str">
        <f t="shared" si="0"/>
        <v/>
      </c>
      <c r="R30" s="60"/>
      <c r="S30" s="9"/>
    </row>
    <row r="31" spans="2:19" ht="15" x14ac:dyDescent="0.2">
      <c r="B31" s="7"/>
      <c r="C31" s="3"/>
      <c r="D31" s="3"/>
      <c r="E31" s="3"/>
      <c r="F31" s="3"/>
      <c r="G31" s="3"/>
      <c r="H31" s="113"/>
      <c r="I31" s="98"/>
      <c r="J31" s="101"/>
      <c r="K31" s="101"/>
      <c r="L31" s="101"/>
      <c r="M31" s="101"/>
      <c r="N31" s="73"/>
      <c r="O31" s="73"/>
      <c r="P31" s="109"/>
      <c r="Q31" s="97" t="str">
        <f t="shared" si="0"/>
        <v/>
      </c>
      <c r="R31" s="60"/>
      <c r="S31" s="9"/>
    </row>
    <row r="32" spans="2:19" ht="15" x14ac:dyDescent="0.2">
      <c r="B32" s="7"/>
      <c r="C32" s="3"/>
      <c r="D32" s="3"/>
      <c r="E32" s="3"/>
      <c r="F32" s="3"/>
      <c r="G32" s="3"/>
      <c r="H32" s="113"/>
      <c r="I32" s="98"/>
      <c r="J32" s="101"/>
      <c r="K32" s="101"/>
      <c r="L32" s="101"/>
      <c r="M32" s="101"/>
      <c r="N32" s="73"/>
      <c r="O32" s="73"/>
      <c r="P32" s="109"/>
      <c r="Q32" s="97" t="str">
        <f t="shared" si="0"/>
        <v/>
      </c>
      <c r="R32" s="60"/>
      <c r="S32" s="9"/>
    </row>
    <row r="33" spans="2:19" ht="15" x14ac:dyDescent="0.2">
      <c r="B33" s="7"/>
      <c r="C33" s="3"/>
      <c r="D33" s="3"/>
      <c r="E33" s="3"/>
      <c r="F33" s="3"/>
      <c r="G33" s="3"/>
      <c r="H33" s="113"/>
      <c r="I33" s="102"/>
      <c r="J33" s="101"/>
      <c r="K33" s="101"/>
      <c r="L33" s="101"/>
      <c r="M33" s="101"/>
      <c r="N33" s="73"/>
      <c r="O33" s="73"/>
      <c r="P33" s="109"/>
      <c r="Q33" s="97" t="str">
        <f t="shared" si="0"/>
        <v/>
      </c>
      <c r="R33" s="60"/>
      <c r="S33" s="9"/>
    </row>
    <row r="34" spans="2:19" ht="15" x14ac:dyDescent="0.2">
      <c r="B34" s="7"/>
      <c r="C34" s="3"/>
      <c r="D34" s="3"/>
      <c r="E34" s="3"/>
      <c r="F34" s="3"/>
      <c r="G34" s="3"/>
      <c r="H34" s="113"/>
      <c r="I34" s="102"/>
      <c r="J34" s="101"/>
      <c r="K34" s="101"/>
      <c r="L34" s="101"/>
      <c r="M34" s="101"/>
      <c r="N34" s="73"/>
      <c r="O34" s="73"/>
      <c r="P34" s="109"/>
      <c r="Q34" s="97" t="str">
        <f t="shared" si="0"/>
        <v/>
      </c>
      <c r="R34" s="60"/>
      <c r="S34" s="9"/>
    </row>
    <row r="35" spans="2:19" ht="15" x14ac:dyDescent="0.2">
      <c r="B35" s="7"/>
      <c r="C35" s="3"/>
      <c r="D35" s="3"/>
      <c r="E35" s="3"/>
      <c r="F35" s="3"/>
      <c r="G35" s="3"/>
      <c r="H35" s="113"/>
      <c r="I35" s="74"/>
      <c r="J35" s="72"/>
      <c r="K35" s="101"/>
      <c r="L35" s="101"/>
      <c r="M35" s="101"/>
      <c r="N35" s="73"/>
      <c r="O35" s="73"/>
      <c r="P35" s="109"/>
      <c r="Q35" s="97" t="str">
        <f t="shared" si="0"/>
        <v/>
      </c>
      <c r="R35" s="60"/>
      <c r="S35" s="9"/>
    </row>
    <row r="36" spans="2:19" ht="15" x14ac:dyDescent="0.2">
      <c r="B36" s="7"/>
      <c r="C36" s="3"/>
      <c r="D36" s="3"/>
      <c r="E36" s="3"/>
      <c r="F36" s="3"/>
      <c r="G36" s="3"/>
      <c r="H36" s="56"/>
      <c r="I36" s="75"/>
      <c r="J36" s="76"/>
      <c r="K36" s="107"/>
      <c r="L36" s="76"/>
      <c r="M36" s="76"/>
      <c r="N36" s="77"/>
      <c r="O36" s="77"/>
      <c r="P36" s="110"/>
      <c r="Q36" s="105" t="s">
        <v>43</v>
      </c>
      <c r="R36" s="60"/>
      <c r="S36" s="9"/>
    </row>
    <row r="37" spans="2:19" ht="15" x14ac:dyDescent="0.2">
      <c r="B37" s="7"/>
      <c r="C37" s="3"/>
      <c r="D37" s="3"/>
      <c r="E37" s="3"/>
      <c r="F37" s="3"/>
      <c r="G37" s="3"/>
      <c r="H37" s="3"/>
      <c r="I37" s="3"/>
      <c r="J37" s="3"/>
      <c r="K37" s="3"/>
      <c r="L37" s="3"/>
      <c r="M37" s="3"/>
      <c r="N37" s="3"/>
      <c r="O37" s="3"/>
      <c r="P37" s="62" t="s">
        <v>42</v>
      </c>
      <c r="Q37" s="106">
        <f>SUM(Q20:Q36)</f>
        <v>1400</v>
      </c>
      <c r="R37" s="60"/>
      <c r="S37" s="9"/>
    </row>
    <row r="38" spans="2:19" ht="15" x14ac:dyDescent="0.2">
      <c r="B38" s="7"/>
      <c r="C38" s="3"/>
      <c r="D38" s="3"/>
      <c r="E38" s="3"/>
      <c r="F38" s="3"/>
      <c r="G38" s="3"/>
      <c r="H38" s="3"/>
      <c r="I38" s="3"/>
      <c r="J38" s="3"/>
      <c r="K38" s="3"/>
      <c r="L38" s="3"/>
      <c r="M38" s="3"/>
      <c r="N38" s="3"/>
      <c r="O38" s="3"/>
      <c r="P38" s="62" t="s">
        <v>24</v>
      </c>
      <c r="Q38" s="106"/>
      <c r="R38" s="60"/>
      <c r="S38" s="9"/>
    </row>
    <row r="39" spans="2:19" ht="15" x14ac:dyDescent="0.2">
      <c r="B39" s="7"/>
      <c r="C39" s="3"/>
      <c r="D39" s="3"/>
      <c r="E39" s="3"/>
      <c r="F39" s="3"/>
      <c r="G39" s="3"/>
      <c r="H39" s="20"/>
      <c r="I39" s="68" t="s">
        <v>74</v>
      </c>
      <c r="J39" s="43"/>
      <c r="K39" s="3"/>
      <c r="L39" s="3"/>
      <c r="M39" s="14"/>
      <c r="N39" s="62"/>
      <c r="O39" s="62"/>
      <c r="P39" s="118"/>
      <c r="Q39" s="106"/>
      <c r="R39" s="60"/>
      <c r="S39" s="9"/>
    </row>
    <row r="40" spans="2:19" ht="15" x14ac:dyDescent="0.2">
      <c r="B40" s="7"/>
      <c r="C40" s="3"/>
      <c r="D40" s="3"/>
      <c r="E40" s="3"/>
      <c r="F40" s="3"/>
      <c r="G40" s="3"/>
      <c r="H40" s="20"/>
      <c r="I40" s="127" t="s">
        <v>82</v>
      </c>
      <c r="J40" s="3"/>
      <c r="K40" s="3"/>
      <c r="L40" s="3"/>
      <c r="M40" s="14"/>
      <c r="N40" s="3"/>
      <c r="O40" s="3"/>
      <c r="P40" s="63" t="str">
        <f>IF(dflt4&lt;&gt;"",dflt4,"")</f>
        <v/>
      </c>
      <c r="Q40" s="106"/>
      <c r="R40" s="60"/>
      <c r="S40" s="9"/>
    </row>
    <row r="41" spans="2:19" ht="15" x14ac:dyDescent="0.2">
      <c r="B41" s="7"/>
      <c r="C41" s="3"/>
      <c r="D41" s="3"/>
      <c r="E41" s="3"/>
      <c r="F41" s="3"/>
      <c r="G41" s="3"/>
      <c r="H41" s="20">
        <v>0</v>
      </c>
      <c r="I41" s="3"/>
      <c r="J41" s="64" t="s">
        <v>43</v>
      </c>
      <c r="K41" s="43"/>
      <c r="L41" s="3"/>
      <c r="M41" s="83" t="s">
        <v>43</v>
      </c>
      <c r="N41" s="3"/>
      <c r="O41" s="3"/>
      <c r="P41" s="13" t="s">
        <v>44</v>
      </c>
      <c r="Q41" s="103">
        <f>SUM(Q37:Q40)</f>
        <v>1400</v>
      </c>
      <c r="R41" s="60"/>
      <c r="S41" s="9"/>
    </row>
    <row r="42" spans="2:19" ht="17.100000000000001" customHeight="1" x14ac:dyDescent="0.2">
      <c r="B42" s="7"/>
      <c r="C42" s="3"/>
      <c r="D42" s="3"/>
      <c r="E42" s="3"/>
      <c r="F42" s="3"/>
      <c r="G42" s="3"/>
      <c r="H42" s="18"/>
      <c r="I42" s="123"/>
      <c r="J42" s="23"/>
      <c r="K42" s="23"/>
      <c r="L42" s="3"/>
      <c r="M42" s="83" t="s">
        <v>43</v>
      </c>
      <c r="N42" s="3"/>
      <c r="O42" s="3"/>
      <c r="P42" s="3"/>
      <c r="Q42" s="3"/>
      <c r="R42" s="60"/>
      <c r="S42" s="9"/>
    </row>
    <row r="43" spans="2:19" x14ac:dyDescent="0.2">
      <c r="B43" s="7"/>
      <c r="C43" s="3"/>
      <c r="D43" s="3"/>
      <c r="E43" s="3"/>
      <c r="F43" s="3"/>
      <c r="G43" s="3"/>
      <c r="H43" s="3"/>
      <c r="I43" s="3"/>
      <c r="J43" s="3"/>
      <c r="K43" s="3"/>
      <c r="L43" s="3"/>
      <c r="M43" s="43"/>
      <c r="N43" s="3"/>
      <c r="O43" s="3"/>
      <c r="P43" s="3"/>
      <c r="Q43" s="3"/>
      <c r="R43" s="60"/>
      <c r="S43" s="9"/>
    </row>
    <row r="44" spans="2:19" x14ac:dyDescent="0.2">
      <c r="B44" s="7"/>
      <c r="C44" s="3"/>
      <c r="D44" s="3"/>
      <c r="E44" s="3"/>
      <c r="F44" s="3"/>
      <c r="G44" s="3"/>
      <c r="H44" s="3"/>
      <c r="I44" s="121"/>
      <c r="J44" s="59"/>
      <c r="K44" s="3"/>
      <c r="L44" s="3"/>
      <c r="M44" s="122"/>
      <c r="N44" s="3"/>
      <c r="O44" s="3"/>
      <c r="P44" s="3"/>
      <c r="Q44" s="3"/>
      <c r="R44" s="60"/>
      <c r="S44" s="9"/>
    </row>
    <row r="45" spans="2:19" x14ac:dyDescent="0.2">
      <c r="B45" s="7"/>
      <c r="C45" s="3"/>
      <c r="D45" s="3"/>
      <c r="E45" s="3"/>
      <c r="F45" s="3"/>
      <c r="G45" s="3"/>
      <c r="H45" s="3"/>
      <c r="I45" s="3" t="s">
        <v>75</v>
      </c>
      <c r="J45" s="3"/>
      <c r="K45" s="3"/>
      <c r="L45" s="3"/>
      <c r="M45" s="3"/>
      <c r="N45" s="3"/>
      <c r="O45" s="3"/>
      <c r="P45" s="3"/>
      <c r="Q45" s="3"/>
      <c r="R45" s="60"/>
      <c r="S45" s="9"/>
    </row>
    <row r="46" spans="2:19" x14ac:dyDescent="0.2">
      <c r="B46" s="7"/>
      <c r="C46" s="3"/>
      <c r="D46" s="3"/>
      <c r="E46" s="3"/>
      <c r="F46" s="3"/>
      <c r="G46" s="3"/>
      <c r="H46" s="3"/>
      <c r="I46" s="3"/>
      <c r="J46" s="3"/>
      <c r="K46" s="3"/>
      <c r="L46" s="3"/>
      <c r="M46" s="3"/>
      <c r="N46" s="3"/>
      <c r="O46" s="3"/>
      <c r="P46" s="3"/>
      <c r="Q46" s="3"/>
      <c r="R46" s="60"/>
      <c r="S46" s="9"/>
    </row>
    <row r="47" spans="2:19" x14ac:dyDescent="0.2">
      <c r="B47" s="7"/>
      <c r="C47" s="3"/>
      <c r="D47" s="3"/>
      <c r="E47" s="3"/>
      <c r="F47" s="3"/>
      <c r="G47" s="3"/>
      <c r="H47" s="3"/>
      <c r="I47" s="3"/>
      <c r="J47" s="3"/>
      <c r="K47" s="3"/>
      <c r="L47" s="3"/>
      <c r="M47" s="3"/>
      <c r="N47" s="3"/>
      <c r="O47" s="3"/>
      <c r="P47" s="3"/>
      <c r="Q47" s="68"/>
      <c r="R47" s="60"/>
      <c r="S47" s="9"/>
    </row>
    <row r="48" spans="2:19" x14ac:dyDescent="0.2">
      <c r="B48" s="7"/>
      <c r="C48" s="3"/>
      <c r="D48" s="3"/>
      <c r="E48" s="3"/>
      <c r="F48" s="3"/>
      <c r="G48" s="3"/>
      <c r="H48" s="3"/>
      <c r="I48" s="3"/>
      <c r="J48" s="3"/>
      <c r="K48" s="3"/>
      <c r="L48" s="3"/>
      <c r="M48" s="3"/>
      <c r="N48" s="3"/>
      <c r="O48" s="3"/>
      <c r="P48" s="3"/>
      <c r="Q48" s="3"/>
      <c r="R48" s="60"/>
      <c r="S48" s="9"/>
    </row>
    <row r="49" spans="2:19" x14ac:dyDescent="0.2">
      <c r="B49" s="7"/>
      <c r="C49" s="3"/>
      <c r="D49" s="3"/>
      <c r="E49" s="3"/>
      <c r="F49" s="3"/>
      <c r="G49" s="3"/>
      <c r="H49" s="3"/>
      <c r="I49" s="3"/>
      <c r="J49" s="3"/>
      <c r="K49" s="3"/>
      <c r="L49" s="3"/>
      <c r="M49" s="3"/>
      <c r="N49" s="3"/>
      <c r="O49" s="3"/>
      <c r="P49" s="3"/>
      <c r="Q49" s="3"/>
      <c r="R49" s="60"/>
      <c r="S49" s="9"/>
    </row>
    <row r="50" spans="2:19" ht="13.5" thickBot="1" x14ac:dyDescent="0.25">
      <c r="B50" s="7"/>
      <c r="C50" s="3"/>
      <c r="D50" s="3"/>
      <c r="E50" s="3"/>
      <c r="F50" s="3"/>
      <c r="G50" s="3"/>
      <c r="H50" s="3"/>
      <c r="I50" s="3"/>
      <c r="J50" s="3"/>
      <c r="K50" s="3"/>
      <c r="L50" s="3"/>
      <c r="M50" s="3"/>
      <c r="N50" s="3"/>
      <c r="O50" s="3"/>
      <c r="P50" s="3"/>
      <c r="Q50" s="3"/>
      <c r="R50" s="60"/>
      <c r="S50" s="9"/>
    </row>
    <row r="51" spans="2:19" ht="3" customHeight="1" thickTop="1" x14ac:dyDescent="0.2">
      <c r="B51" s="7"/>
      <c r="C51" s="3"/>
      <c r="D51" s="3"/>
      <c r="E51" s="3"/>
      <c r="F51" s="3"/>
      <c r="G51" s="3"/>
      <c r="H51" s="65"/>
      <c r="I51" s="65"/>
      <c r="J51" s="65"/>
      <c r="K51" s="65"/>
      <c r="L51" s="65"/>
      <c r="M51" s="65"/>
      <c r="N51" s="65"/>
      <c r="O51" s="65"/>
      <c r="P51" s="65"/>
      <c r="Q51" s="65"/>
      <c r="R51" s="60"/>
      <c r="S51" s="9"/>
    </row>
    <row r="52" spans="2:19" x14ac:dyDescent="0.2">
      <c r="B52" s="7"/>
      <c r="C52" s="3"/>
      <c r="D52" s="3"/>
      <c r="E52" s="3"/>
      <c r="F52" s="3"/>
      <c r="G52" s="3"/>
      <c r="H52" s="3"/>
      <c r="I52" s="3"/>
      <c r="J52" s="3"/>
      <c r="K52" s="3"/>
      <c r="L52" s="3"/>
      <c r="M52" s="3"/>
      <c r="N52" s="3"/>
      <c r="O52" s="3"/>
      <c r="P52" s="3"/>
      <c r="Q52" s="3"/>
      <c r="R52" s="60"/>
      <c r="S52" s="9"/>
    </row>
    <row r="53" spans="2:19" x14ac:dyDescent="0.2">
      <c r="B53" s="7"/>
      <c r="C53" s="3"/>
      <c r="D53" s="3"/>
      <c r="E53" s="3"/>
      <c r="F53" s="3"/>
      <c r="G53" s="3"/>
      <c r="H53" s="3"/>
      <c r="I53" s="3"/>
      <c r="J53" s="3"/>
      <c r="K53" s="3"/>
      <c r="L53" s="3"/>
      <c r="M53" s="3"/>
      <c r="N53" s="3"/>
      <c r="O53" s="3"/>
      <c r="P53" s="3"/>
      <c r="Q53" s="3"/>
      <c r="R53" s="60"/>
      <c r="S53" s="9"/>
    </row>
    <row r="54" spans="2:19" x14ac:dyDescent="0.2">
      <c r="B54" s="7"/>
      <c r="C54" s="3"/>
      <c r="D54" s="3"/>
      <c r="E54" s="3"/>
      <c r="F54" s="3"/>
      <c r="G54" s="3"/>
      <c r="H54" s="3"/>
      <c r="I54" s="3"/>
      <c r="J54" s="3"/>
      <c r="K54" s="3"/>
      <c r="L54" s="3"/>
      <c r="M54" s="3"/>
      <c r="N54" s="3"/>
      <c r="O54" s="3"/>
      <c r="P54" s="3"/>
      <c r="Q54" s="3"/>
      <c r="R54" s="60"/>
      <c r="S54" s="9"/>
    </row>
    <row r="55" spans="2:19" ht="0.95" customHeight="1" thickBot="1" x14ac:dyDescent="0.25">
      <c r="B55" s="10"/>
      <c r="C55" s="11"/>
      <c r="D55" s="11"/>
      <c r="E55" s="11"/>
      <c r="F55" s="11"/>
      <c r="G55" s="11"/>
      <c r="H55" s="11"/>
      <c r="I55" s="11"/>
      <c r="J55" s="11"/>
      <c r="K55" s="11"/>
      <c r="L55" s="11"/>
      <c r="M55" s="11"/>
      <c r="N55" s="11"/>
      <c r="O55" s="11"/>
      <c r="P55" s="11"/>
      <c r="Q55" s="11"/>
      <c r="R55" s="11"/>
      <c r="S55" s="12"/>
    </row>
    <row r="56" spans="2:19" ht="6" customHeight="1" thickTop="1" x14ac:dyDescent="0.2"/>
  </sheetData>
  <scenarios current="5" show="2">
    <scenario name="current1" locked="1" count="29" user="Microsoft Corporation" comment="Skapad av Microsoft Corporation den 8/24/95">
      <inputCells r="K14" val=""/>
      <inputCells r="M14" val=""/>
      <inputCells r="H12" val=""/>
      <inputCells r="I13" val=""/>
      <inputCells r="I14" val=""/>
      <inputCells r="I16" val=""/>
      <inputCells r="I20" val=""/>
      <inputCells r="I21" val=""/>
      <inputCells r="I25" val=""/>
      <inputCells r="I26" val=""/>
      <inputCells r="H20" val=""/>
      <inputCells r="H21" val=""/>
      <inputCells r="H22" val=""/>
      <inputCells r="H23" val=""/>
      <inputCells r="H24" val=""/>
      <inputCells r="H25" val=""/>
      <inputCells r="H26" val=""/>
      <inputCells r="H27" val=""/>
      <inputCells r="P25" undone="1" val=""/>
      <inputCells r="P24" undone="1" val=""/>
      <inputCells r="P23" undone="1" val=""/>
      <inputCells r="P22" undone="1" val=""/>
      <inputCells r="P21" undone="1" val=""/>
      <inputCells r="P20" undone="1" val=""/>
      <inputCells r="P19" undone="1" val=""/>
      <inputCells r="Q15" undone="1" val=""/>
      <inputCells r="Q14" undone="1" val=""/>
      <inputCells r="Q13" undone="1" val=""/>
      <inputCells r="Q12" undone="1" val="34911" numFmtId="14"/>
    </scenario>
    <scenario name="current2" locked="1" count="31" user="Microsoft Corporation" comment="Skapad av Microsoft Corporation den 8/24/95">
      <inputCells r="I27" val=""/>
      <inputCells r="H28" val=""/>
      <inputCells r="I28" val=""/>
      <inputCells r="H29" val=""/>
      <inputCells r="I29" val=""/>
      <inputCells r="H30" val=""/>
      <inputCells r="I30" val=""/>
      <inputCells r="H31" val=""/>
      <inputCells r="I31" val=""/>
      <inputCells r="H32" val=""/>
      <inputCells r="I32" val=""/>
      <inputCells r="H33" val=""/>
      <inputCells r="I33" val=""/>
      <inputCells r="H34" val=""/>
      <inputCells r="I34" val=""/>
      <inputCells r="H35" val=""/>
      <inputCells r="I35" val=""/>
      <inputCells r="H36" val=""/>
      <inputCells r="I36" val=""/>
      <inputCells r="H40" val=""/>
      <inputCells r="H41" val="3" numFmtId="166"/>
      <inputCells r="P35" undone="1" val=""/>
      <inputCells r="P34" undone="1" val=""/>
      <inputCells r="P33" undone="1" val=""/>
      <inputCells r="P32" undone="1" val=""/>
      <inputCells r="P31" undone="1" val=""/>
      <inputCells r="P30" undone="1" val=""/>
      <inputCells r="P29" undone="1" val=""/>
      <inputCells r="P28" undone="1" val=""/>
      <inputCells r="P27" undone="1" val=""/>
      <inputCells r="P26" undone="1" val=""/>
    </scenario>
    <scenario name="current3" locked="1" count="3" user="Microsoft Corporation" comment="Skapad av Microsoft Corporation den 8/24/95">
      <inputCells r="J40" val=""/>
      <inputCells r="N45" undone="1" val=""/>
      <inputCells r="N44" undone="1" val=""/>
    </scenario>
    <scenario name="sample1" locked="1" count="29" user="Microsoft Corporation" comment="Village Software">
      <inputCells r="H12" val="Jan Svensson"/>
      <inputCells r="I13" val="Trädgårdsvägen 227"/>
      <inputCells r="I14" val="11111"/>
      <inputCells r="K14" val="Kyrkberga"/>
      <inputCells r="M14" val=""/>
      <inputCells r="I16" val="01-2345678"/>
      <inputCells r="H20" val="100"/>
      <inputCells r="I20" val="Kopior av meritförteckning"/>
      <inputCells r="H21" val="4"/>
      <inputCells r="I21" val="Inbundna kopior av rapport"/>
      <inputCells r="H22" val=""/>
      <inputCells r="I25" val=""/>
      <inputCells r="H23" val=""/>
      <inputCells r="I26" val=""/>
      <inputCells r="H24" val=""/>
      <inputCells r="H25" val=""/>
      <inputCells r="H26" val=""/>
      <inputCells r="H27" val=""/>
      <inputCells r="P25" undone="1" val=""/>
      <inputCells r="P24" undone="1" val=""/>
      <inputCells r="P23" undone="1" val=""/>
      <inputCells r="P22" undone="1" val=""/>
      <inputCells r="P21" undone="1" val=""/>
      <inputCells r="P20" undone="1" val="95"/>
      <inputCells r="P19" undone="1" val="2"/>
      <inputCells r="Q15" undone="1" val="Jan Svensson"/>
      <inputCells r="Q14" undone="1" val="DP"/>
      <inputCells r="Q13" undone="1" val="VS100"/>
      <inputCells r="Q12" undone="1" val="34911" numFmtId="14"/>
    </scenario>
    <scenario name="sample2" locked="1" count="31" user="Microsoft Corporation" comment="Village Software">
      <inputCells r="I27" val=""/>
      <inputCells r="H28" val=""/>
      <inputCells r="I28" val=""/>
      <inputCells r="H29" val=""/>
      <inputCells r="I29" val=""/>
      <inputCells r="H30" val=""/>
      <inputCells r="I30" val=""/>
      <inputCells r="H31" val=""/>
      <inputCells r="I31" val=""/>
      <inputCells r="H32" val=""/>
      <inputCells r="I32" val=""/>
      <inputCells r="H33" val=""/>
      <inputCells r="I33" val=""/>
      <inputCells r="H34" val=""/>
      <inputCells r="I34" val=""/>
      <inputCells r="H35" val=""/>
      <inputCells r="I35" val=""/>
      <inputCells r="H36" val=""/>
      <inputCells r="I36" val=""/>
      <inputCells r="H40" val=""/>
      <inputCells r="H41" val="3" numFmtId="166"/>
      <inputCells r="P35" undone="1" val=""/>
      <inputCells r="P34" undone="1" val=""/>
      <inputCells r="P33" undone="1" val=""/>
      <inputCells r="P32" undone="1" val=""/>
      <inputCells r="P31" undone="1" val=""/>
      <inputCells r="P30" undone="1" val=""/>
      <inputCells r="P29" undone="1" val=""/>
      <inputCells r="P28" undone="1" val=""/>
      <inputCells r="P27" undone="1" val=""/>
      <inputCells r="P26" undone="1" val=""/>
    </scenario>
    <scenario name="sample3" locked="1" count="3" user="Microsoft Corporation" comment="Village Software">
      <inputCells r="J40" val=""/>
      <inputCells r="N45" undone="1" val=""/>
      <inputCells r="N44" undone="1" val=""/>
    </scenario>
  </scenarios>
  <customSheetViews>
    <customSheetView guid="{58F2F22E-C36E-4B61-A2F0-87B8DAF04981}" showGridLines="0" showRowCol="0" fitToPage="1" showRuler="0">
      <selection activeCell="P4" sqref="P4"/>
      <pageMargins left="0.5" right="0.5" top="0.5" bottom="0.5" header="0.5" footer="0.5"/>
      <printOptions horizontalCentered="1" verticalCentered="1"/>
      <pageSetup paperSize="9" scale="85" orientation="portrait" blackAndWhite="1" horizontalDpi="300" verticalDpi="300" r:id="rId1"/>
      <headerFooter alignWithMargins="0"/>
    </customSheetView>
  </customSheetViews>
  <phoneticPr fontId="18" type="noConversion"/>
  <hyperlinks>
    <hyperlink ref="K12" r:id="rId2"/>
  </hyperlinks>
  <printOptions horizontalCentered="1" verticalCentered="1"/>
  <pageMargins left="0.5" right="0.5" top="0.5" bottom="0.5" header="0.5" footer="0.5"/>
  <pageSetup paperSize="9" scale="85" orientation="portrait" blackAndWhite="1"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2101" r:id="rId6" name="CUST">
              <controlPr defaultSize="0" print="0" autoFill="0" autoLine="0" autoPict="0" macro="[0]!Customize">
                <anchor moveWithCells="1" sizeWithCells="1">
                  <from>
                    <xdr:col>15</xdr:col>
                    <xdr:colOff>561975</xdr:colOff>
                    <xdr:row>4</xdr:row>
                    <xdr:rowOff>133350</xdr:rowOff>
                  </from>
                  <to>
                    <xdr:col>16</xdr:col>
                    <xdr:colOff>714375</xdr:colOff>
                    <xdr:row>6</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I21"/>
  <sheetViews>
    <sheetView topLeftCell="A5" zoomScale="95" workbookViewId="0">
      <selection activeCell="B26" sqref="B26"/>
    </sheetView>
  </sheetViews>
  <sheetFormatPr defaultColWidth="11.42578125" defaultRowHeight="12.75" x14ac:dyDescent="0.2"/>
  <cols>
    <col min="1" max="16384" width="11.42578125" style="86"/>
  </cols>
  <sheetData>
    <row r="2" spans="1:9" x14ac:dyDescent="0.2">
      <c r="D2" s="86" t="s">
        <v>45</v>
      </c>
      <c r="E2" s="86" t="s">
        <v>46</v>
      </c>
      <c r="F2" s="86" t="s">
        <v>47</v>
      </c>
      <c r="G2" s="86" t="s">
        <v>48</v>
      </c>
      <c r="H2" s="86" t="s">
        <v>49</v>
      </c>
      <c r="I2" s="86" t="s">
        <v>50</v>
      </c>
    </row>
    <row r="3" spans="1:9" x14ac:dyDescent="0.2">
      <c r="A3" s="86" t="s">
        <v>51</v>
      </c>
      <c r="B3" s="86" t="s">
        <v>52</v>
      </c>
      <c r="C3" s="86" t="s">
        <v>53</v>
      </c>
    </row>
    <row r="21" spans="4:4" x14ac:dyDescent="0.2">
      <c r="D21" s="87"/>
    </row>
  </sheetData>
  <customSheetViews>
    <customSheetView guid="{58F2F22E-C36E-4B61-A2F0-87B8DAF04981}" scale="95" state="veryHidden" showRuler="0" topLeftCell="A5">
      <selection activeCell="B26" sqref="B26"/>
      <pageMargins left="0.75" right="0.75" top="1" bottom="1" header="0.4921259845" footer="0.4921259845"/>
      <headerFooter alignWithMargins="0">
        <oddHeader>&amp;A</oddHeader>
        <oddFooter>Seite &amp;P</oddFooter>
      </headerFooter>
    </customSheetView>
  </customSheetViews>
  <phoneticPr fontId="18" type="noConversion"/>
  <pageMargins left="0.75" right="0.75" top="1" bottom="1" header="0.4921259845" footer="0.4921259845"/>
  <headerFooter alignWithMargins="0">
    <oddHeader>&amp;A</oddHeader>
    <oddFooter>Seite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9"/>
  <sheetViews>
    <sheetView topLeftCell="XFD1048576" zoomScale="95" workbookViewId="0"/>
  </sheetViews>
  <sheetFormatPr defaultColWidth="0" defaultRowHeight="12.75" zeroHeight="1" x14ac:dyDescent="0.2"/>
  <sheetData>
    <row r="1" spans="1:11" hidden="1" x14ac:dyDescent="0.2">
      <c r="A1" t="s">
        <v>54</v>
      </c>
    </row>
    <row r="2" spans="1:11" hidden="1" x14ac:dyDescent="0.2">
      <c r="A2" t="s">
        <v>55</v>
      </c>
      <c r="B2" t="s">
        <v>56</v>
      </c>
    </row>
    <row r="3" spans="1:11" hidden="1" x14ac:dyDescent="0.2">
      <c r="A3" t="s">
        <v>57</v>
      </c>
      <c r="B3" t="s">
        <v>58</v>
      </c>
    </row>
    <row r="4" spans="1:11" hidden="1" x14ac:dyDescent="0.2">
      <c r="A4" t="s">
        <v>59</v>
      </c>
    </row>
    <row r="5" spans="1:11" hidden="1" x14ac:dyDescent="0.2">
      <c r="A5" t="s">
        <v>60</v>
      </c>
      <c r="B5">
        <v>1</v>
      </c>
    </row>
    <row r="6" spans="1:11" hidden="1" x14ac:dyDescent="0.2">
      <c r="A6">
        <v>1</v>
      </c>
      <c r="B6" t="s">
        <v>61</v>
      </c>
      <c r="C6" t="s">
        <v>62</v>
      </c>
      <c r="D6" t="s">
        <v>63</v>
      </c>
      <c r="E6">
        <v>10</v>
      </c>
      <c r="G6">
        <v>-2013871360</v>
      </c>
    </row>
    <row r="7" spans="1:11" hidden="1" x14ac:dyDescent="0.2">
      <c r="A7" t="s">
        <v>64</v>
      </c>
      <c r="B7" t="s">
        <v>32</v>
      </c>
      <c r="C7" t="s">
        <v>65</v>
      </c>
      <c r="D7" t="s">
        <v>66</v>
      </c>
      <c r="E7" t="s">
        <v>33</v>
      </c>
      <c r="F7" t="s">
        <v>67</v>
      </c>
      <c r="G7" t="s">
        <v>68</v>
      </c>
      <c r="H7" t="s">
        <v>35</v>
      </c>
      <c r="I7" t="s">
        <v>37</v>
      </c>
      <c r="J7" t="s">
        <v>69</v>
      </c>
      <c r="K7" t="s">
        <v>36</v>
      </c>
    </row>
    <row r="8" spans="1:11" hidden="1" x14ac:dyDescent="0.2">
      <c r="A8" t="s">
        <v>70</v>
      </c>
      <c r="B8" s="91" t="str">
        <f>Faktura!$Q$4</f>
        <v>16 43</v>
      </c>
      <c r="C8" s="92">
        <f>Faktura!$Q$12</f>
        <v>42432</v>
      </c>
      <c r="D8" s="93" t="str">
        <f>Faktura!$H$12</f>
        <v xml:space="preserve"> </v>
      </c>
      <c r="E8" s="93" t="str">
        <f>Faktura!$I$13</f>
        <v xml:space="preserve"> </v>
      </c>
      <c r="F8" s="93" t="str">
        <f>Faktura!$I$14</f>
        <v xml:space="preserve"> </v>
      </c>
      <c r="G8" s="93">
        <f>Faktura!$K$14</f>
        <v>0</v>
      </c>
      <c r="H8" s="93" t="str">
        <f>Faktura!$M$14</f>
        <v xml:space="preserve"> </v>
      </c>
      <c r="I8" s="93" t="str">
        <f>Faktura!$I$16</f>
        <v xml:space="preserve"> </v>
      </c>
      <c r="J8">
        <f>Faktura!$Q$41</f>
        <v>1400</v>
      </c>
      <c r="K8" t="str">
        <f>Faktura!$Q$14</f>
        <v>Hans Ling</v>
      </c>
    </row>
    <row r="9" spans="1:11" hidden="1" x14ac:dyDescent="0.2">
      <c r="A9" t="s">
        <v>59</v>
      </c>
    </row>
  </sheetData>
  <customSheetViews>
    <customSheetView guid="{58F2F22E-C36E-4B61-A2F0-87B8DAF04981}" scale="95" hiddenRows="1" hiddenColumns="1" state="veryHidden" showRuler="0" topLeftCell="IV65536">
      <pageMargins left="0.75" right="0.75" top="1" bottom="1" header="0.5" footer="0.5"/>
      <headerFooter alignWithMargins="0">
        <oddHeader>&amp;A</oddHeader>
        <oddFooter>Sida &amp;P</oddFooter>
      </headerFooter>
    </customSheetView>
  </customSheetViews>
  <phoneticPr fontId="18" type="noConversion"/>
  <pageMargins left="0.75" right="0.75" top="1" bottom="1" header="0.5" footer="0.5"/>
  <headerFooter alignWithMargins="0">
    <oddHeader>&amp;A</oddHeader>
    <oddFooter>Sida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94</vt:i4>
      </vt:variant>
    </vt:vector>
  </HeadingPairs>
  <TitlesOfParts>
    <vt:vector size="97" baseType="lpstr">
      <vt:lpstr>Anpassa faktura</vt:lpstr>
      <vt:lpstr>Blad1</vt:lpstr>
      <vt:lpstr>Faktura</vt:lpstr>
      <vt:lpstr>_SHR1</vt:lpstr>
      <vt:lpstr>_SHR2</vt:lpstr>
      <vt:lpstr>_tax3</vt:lpstr>
      <vt:lpstr>_tax4</vt:lpstr>
      <vt:lpstr>boxes</vt:lpstr>
      <vt:lpstr>CC</vt:lpstr>
      <vt:lpstr>CCT</vt:lpstr>
      <vt:lpstr>CDB</vt:lpstr>
      <vt:lpstr>CS</vt:lpstr>
      <vt:lpstr>data1</vt:lpstr>
      <vt:lpstr>data10</vt:lpstr>
      <vt:lpstr>data11</vt:lpstr>
      <vt:lpstr>data12</vt:lpstr>
      <vt:lpstr>data13</vt:lpstr>
      <vt:lpstr>data14</vt:lpstr>
      <vt:lpstr>data15</vt:lpstr>
      <vt:lpstr>data16</vt:lpstr>
      <vt:lpstr>data17</vt:lpstr>
      <vt:lpstr>data18</vt:lpstr>
      <vt:lpstr>data19</vt:lpstr>
      <vt:lpstr>data2</vt:lpstr>
      <vt:lpstr>data20</vt:lpstr>
      <vt:lpstr>data21</vt:lpstr>
      <vt:lpstr>data22</vt:lpstr>
      <vt:lpstr>data23</vt:lpstr>
      <vt:lpstr>data25</vt:lpstr>
      <vt:lpstr>data26</vt:lpstr>
      <vt:lpstr>data28</vt:lpstr>
      <vt:lpstr>data29</vt:lpstr>
      <vt:lpstr>data3</vt:lpstr>
      <vt:lpstr>data31</vt:lpstr>
      <vt:lpstr>data32</vt:lpstr>
      <vt:lpstr>data33</vt:lpstr>
      <vt:lpstr>data34</vt:lpstr>
      <vt:lpstr>data35</vt:lpstr>
      <vt:lpstr>data36</vt:lpstr>
      <vt:lpstr>data37</vt:lpstr>
      <vt:lpstr>data38</vt:lpstr>
      <vt:lpstr>data39</vt:lpstr>
      <vt:lpstr>data4</vt:lpstr>
      <vt:lpstr>data40</vt:lpstr>
      <vt:lpstr>data41</vt:lpstr>
      <vt:lpstr>data42</vt:lpstr>
      <vt:lpstr>data43</vt:lpstr>
      <vt:lpstr>data44</vt:lpstr>
      <vt:lpstr>data45</vt:lpstr>
      <vt:lpstr>data46</vt:lpstr>
      <vt:lpstr>data47</vt:lpstr>
      <vt:lpstr>data48</vt:lpstr>
      <vt:lpstr>data49</vt:lpstr>
      <vt:lpstr>data5</vt:lpstr>
      <vt:lpstr>data50</vt:lpstr>
      <vt:lpstr>data51</vt:lpstr>
      <vt:lpstr>data52</vt:lpstr>
      <vt:lpstr>data53</vt:lpstr>
      <vt:lpstr>data54</vt:lpstr>
      <vt:lpstr>data55</vt:lpstr>
      <vt:lpstr>data56</vt:lpstr>
      <vt:lpstr>data57</vt:lpstr>
      <vt:lpstr>data58</vt:lpstr>
      <vt:lpstr>data59</vt:lpstr>
      <vt:lpstr>data6</vt:lpstr>
      <vt:lpstr>data60</vt:lpstr>
      <vt:lpstr>data61</vt:lpstr>
      <vt:lpstr>data63</vt:lpstr>
      <vt:lpstr>data64</vt:lpstr>
      <vt:lpstr>data65</vt:lpstr>
      <vt:lpstr>data7</vt:lpstr>
      <vt:lpstr>data8</vt:lpstr>
      <vt:lpstr>data9</vt:lpstr>
      <vt:lpstr>dflt1</vt:lpstr>
      <vt:lpstr>dflt2</vt:lpstr>
      <vt:lpstr>dflt3</vt:lpstr>
      <vt:lpstr>dflt4</vt:lpstr>
      <vt:lpstr>dflt5</vt:lpstr>
      <vt:lpstr>dflt6</vt:lpstr>
      <vt:lpstr>dflt7</vt:lpstr>
      <vt:lpstr>display_area_1</vt:lpstr>
      <vt:lpstr>display_area_2</vt:lpstr>
      <vt:lpstr>LOC</vt:lpstr>
      <vt:lpstr>LTR</vt:lpstr>
      <vt:lpstr>NO</vt:lpstr>
      <vt:lpstr>NS</vt:lpstr>
      <vt:lpstr>'Anpassa faktura'!Print_Area</vt:lpstr>
      <vt:lpstr>Faktura!Print_Area</vt:lpstr>
      <vt:lpstr>SS</vt:lpstr>
      <vt:lpstr>TOT</vt:lpstr>
      <vt:lpstr>vital1</vt:lpstr>
      <vt:lpstr>vital2</vt:lpstr>
      <vt:lpstr>vital4</vt:lpstr>
      <vt:lpstr>vital5</vt:lpstr>
      <vt:lpstr>vital6</vt:lpstr>
      <vt:lpstr>vital8</vt:lpstr>
      <vt:lpstr>vital9</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Faktura</dc:title>
  <dc:creator>Village Software</dc:creator>
  <cp:lastModifiedBy>Admin</cp:lastModifiedBy>
  <cp:lastPrinted>2013-06-17T09:34:14Z</cp:lastPrinted>
  <dcterms:created xsi:type="dcterms:W3CDTF">1995-07-25T17:56:59Z</dcterms:created>
  <dcterms:modified xsi:type="dcterms:W3CDTF">2016-03-03T04:33:39Z</dcterms:modified>
</cp:coreProperties>
</file>